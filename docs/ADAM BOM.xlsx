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nt A" sheetId="1" r:id="rId5"/>
  </sheets>
  <definedNames/>
  <calcPr/>
</workbook>
</file>

<file path=xl/sharedStrings.xml><?xml version="1.0" encoding="utf-8"?>
<sst xmlns="http://schemas.openxmlformats.org/spreadsheetml/2006/main" count="389" uniqueCount="304">
  <si>
    <t>PROJECT ADAM — BILL OF MATERIALS (BOM)</t>
  </si>
  <si>
    <t>Project:</t>
  </si>
  <si>
    <t>ADAM</t>
  </si>
  <si>
    <t>Revision:</t>
  </si>
  <si>
    <t>v1.0</t>
  </si>
  <si>
    <t>TOTAL BOM COST</t>
  </si>
  <si>
    <t>TOTAL LINE ITEMS</t>
  </si>
  <si>
    <t>TOTAL COMPONENT VOLUME</t>
  </si>
  <si>
    <t>Ref Des</t>
  </si>
  <si>
    <t>Component</t>
  </si>
  <si>
    <t>MPN</t>
  </si>
  <si>
    <t>Package</t>
  </si>
  <si>
    <t>Qty</t>
  </si>
  <si>
    <t>Unit Price</t>
  </si>
  <si>
    <t>Total Price</t>
  </si>
  <si>
    <t>Source</t>
  </si>
  <si>
    <t>SECTION A: ELECTRONICS &amp; SENSORS</t>
  </si>
  <si>
    <t>U1</t>
  </si>
  <si>
    <t>Raspberry Pi Zero 2W</t>
  </si>
  <si>
    <t>SC0510 / RPI-ZERO-2W</t>
  </si>
  <si>
    <t>Module, 65×30mm</t>
  </si>
  <si>
    <t>Robu.in / Supreme Electronics (Chandni Chowk)</t>
  </si>
  <si>
    <t>J1A, J1B</t>
  </si>
  <si>
    <t>2×20 Dual-Row Female SMD Header, 2.54mm pitch, 5.0mm low profile</t>
  </si>
  <si>
    <t>2X20-FEMALE-THT-2.54</t>
  </si>
  <si>
    <t>SMD Dual Row 2×20</t>
  </si>
  <si>
    <t>Quartz Components / Robu.in</t>
  </si>
  <si>
    <t>J_PWR</t>
  </si>
  <si>
    <t>USB Type-C Receptacle, power-only, 5V@3-5A</t>
  </si>
  <si>
    <t>TYPE-C-16P-SMD</t>
  </si>
  <si>
    <t>SMD Hybrid 16-Pin</t>
  </si>
  <si>
    <t>Evelta / Robu / Chandni</t>
  </si>
  <si>
    <t>R1, R2</t>
  </si>
  <si>
    <t>5.1kW 1% resistor — USB-C CC1/CC2 pulldown</t>
  </si>
  <si>
    <t>RC0603FR-075K1L</t>
  </si>
  <si>
    <t>0603</t>
  </si>
  <si>
    <t>Local passives / Robu</t>
  </si>
  <si>
    <t>F1</t>
  </si>
  <si>
    <t>PTC resettable polyfuse, 3.0A hold / 3.5-6.0A trip, 6V min — primary input</t>
  </si>
  <si>
    <t>SMD1812P300TF</t>
  </si>
  <si>
    <t>Evelta / Mouser</t>
  </si>
  <si>
    <t>Q1</t>
  </si>
  <si>
    <t>P-Channel MOSFET, 30V 4.2A, Rds(on)&lt;50mW — reverse-polarity protection</t>
  </si>
  <si>
    <t>AO3401A / DMG3415U</t>
  </si>
  <si>
    <t>SOT-23-3</t>
  </si>
  <si>
    <t>Quartz / Evelta</t>
  </si>
  <si>
    <t>D1</t>
  </si>
  <si>
    <t>TVS diode array, ESD protection USB/VBUS, 5V unidirectional</t>
  </si>
  <si>
    <t>USBLC6-2SC6</t>
  </si>
  <si>
    <t>SOT-23-6</t>
  </si>
  <si>
    <t>C_BULK_IN</t>
  </si>
  <si>
    <t>2200μF 16V low-ESR radial electrolytic — input power reservoir</t>
  </si>
  <si>
    <t>UPW1C222MHD</t>
  </si>
  <si>
    <t>Radial 10×20mm</t>
  </si>
  <si>
    <t>Supreme / Classic Electronics</t>
  </si>
  <si>
    <t>C1,C2,C3</t>
  </si>
  <si>
    <t>10μF 16V X5R ceramic decoupling</t>
  </si>
  <si>
    <t>CL10A106KP8NNNC</t>
  </si>
  <si>
    <t>C4,C5,C6</t>
  </si>
  <si>
    <t>100nF 50V X7R ceramic decoupling</t>
  </si>
  <si>
    <t>CC0603KRX7R9BB104</t>
  </si>
  <si>
    <t>F_SERVO</t>
  </si>
  <si>
    <t>PTC resettable polyfuse, 0.75A hold / 1.5A trip — servo subsystem isolation</t>
  </si>
  <si>
    <t>SMD1206P075TF</t>
  </si>
  <si>
    <t>C_SERVO_LOC</t>
  </si>
  <si>
    <t>1000μF 16V low-ESR radial electrolytic, mounted at J_SERVO pins</t>
  </si>
  <si>
    <t>UPW1C102MPD</t>
  </si>
  <si>
    <t>Radial 8×15mm</t>
  </si>
  <si>
    <t>Supreme Electronics</t>
  </si>
  <si>
    <t>D_SERVO</t>
  </si>
  <si>
    <t>3A 40V Schottky diode — flyback/back-EMF clamp, cathode to +5V_SERVO, anode to GND</t>
  </si>
  <si>
    <t>SS34 / B340A</t>
  </si>
  <si>
    <t>SMA / DO-214AC</t>
  </si>
  <si>
    <t>J_SERVO</t>
  </si>
  <si>
    <t>3-pin JST-XH/Berg header — GND, +5V_SERVO, PWM (to MG90S pan servo)</t>
  </si>
  <si>
    <t>B3B-XH-A(LF)(SN)</t>
  </si>
  <si>
    <t>2.54mm R/A</t>
  </si>
  <si>
    <t>Robu / Chandni</t>
  </si>
  <si>
    <t>SPK1</t>
  </si>
  <si>
    <t>50mm dynamic speaker, 4-8Ω 3W</t>
  </si>
  <si>
    <t>SPK-50MM-8R-3W</t>
  </si>
  <si>
    <t>50mm Round</t>
  </si>
  <si>
    <t>Robu.in / Quartz Components</t>
  </si>
  <si>
    <t>U_AMP</t>
  </si>
  <si>
    <t>3.2W mono Class-D I2S audio amp with internal DAC</t>
  </si>
  <si>
    <t>MAX98357AETE+T</t>
  </si>
  <si>
    <t>16-TQFN 3×3mm</t>
  </si>
  <si>
    <t>Evelta / Mouser / DigiKey</t>
  </si>
  <si>
    <t>R_GAIN</t>
  </si>
  <si>
    <t>100kW 1% — GAIN_SLOT (Pin 2) tied to GND ® fixed +12dB (floating-pin drift fix)</t>
  </si>
  <si>
    <t>RC0603FR-07100KL</t>
  </si>
  <si>
    <t>Local passives</t>
  </si>
  <si>
    <t>L_FLT1, L_FLT2</t>
  </si>
  <si>
    <t>Ferrite bead, 100MHz 600W, 2A — speaker EMI filter</t>
  </si>
  <si>
    <t>BLM18PG601SN1D</t>
  </si>
  <si>
    <t>Mouser / Evelta</t>
  </si>
  <si>
    <t>C_FLT1, C_FLT2</t>
  </si>
  <si>
    <t>220pF 50V C0G ceramic filter cap</t>
  </si>
  <si>
    <t>CC0603JRNPO9BN221</t>
  </si>
  <si>
    <t>C_AMP</t>
  </si>
  <si>
    <t>10μF 16V X5R ceramic — MAX98357A VDD bulk</t>
  </si>
  <si>
    <t>J_SPK</t>
  </si>
  <si>
    <t>2-pin JST-PH — to 3W 4/8W speaker</t>
  </si>
  <si>
    <t>S2B-PH-K-S(LF)(SN)</t>
  </si>
  <si>
    <t>2.0mm R/A</t>
  </si>
  <si>
    <t>Robu / Quartz</t>
  </si>
  <si>
    <t>J_RADAR</t>
  </si>
  <si>
    <t>3-pin JST-PH — GND, +5V, OUT (to RCWL-0516 microwave radar)</t>
  </si>
  <si>
    <t>S3B-PH-K-S(LF)(SN)</t>
  </si>
  <si>
    <t>RADAR_MOD</t>
  </si>
  <si>
    <t>RCWL-0516 microwave radar motion sensor module</t>
  </si>
  <si>
    <t>RCWL-0516</t>
  </si>
  <si>
    <t>Module, 35×17mm</t>
  </si>
  <si>
    <t>J_NECK</t>
  </si>
  <si>
    <t>4-pin JST-PH shrouded — 5V, GND, TX, RX (to ESP32-S3 Head board)</t>
  </si>
  <si>
    <t>S4B-PH-K-S(LF)(SN)</t>
  </si>
  <si>
    <t>CBL_NECK</t>
  </si>
  <si>
    <t>4-core shielded high-flex twisted cable, 28AWG silicone, braided shield to GND (single-point, body side only)</t>
  </si>
  <si>
    <t>CBL-4C-SHIELD-28AWG</t>
  </si>
  <si>
    <t>External harness, 30cm</t>
  </si>
  <si>
    <t>Evelta / Chandni wire market</t>
  </si>
  <si>
    <t>LED1</t>
  </si>
  <si>
    <t>Green LED — 5V system power indicator</t>
  </si>
  <si>
    <t>0603-LED-GREEN</t>
  </si>
  <si>
    <t>R_LED1</t>
  </si>
  <si>
    <t>1.0kW 1% — LED current limiter</t>
  </si>
  <si>
    <t>RC0603FR-071KL</t>
  </si>
  <si>
    <t>TP1-TP8</t>
  </si>
  <si>
    <t>SMD test points: GND, 5V, 3V3, BCLK, WS, DIN, DOUT, PWM</t>
  </si>
  <si>
    <t>RC0805 pad</t>
  </si>
  <si>
    <t>0805 copper pad</t>
  </si>
  <si>
    <t>PCB etched copper</t>
  </si>
  <si>
    <t>J_MIC_L</t>
  </si>
  <si>
    <t>6-pin JST-PH — VDD, GND, SD, WS/LRSEL (to Left INMP441 breakout)</t>
  </si>
  <si>
    <t>J_MIC_R</t>
  </si>
  <si>
    <t>6-pin JST-PH — VDD, GND, SD, WS/LRSEL (to Right INMP441 breakout)</t>
  </si>
  <si>
    <t>MIC_L, MIC_R</t>
  </si>
  <si>
    <t>INMP441 I2S digital MEMS microphone breakout module (24-bit, omnidirectional, on-board regulator)</t>
  </si>
  <si>
    <t>INMP441-BREAKOUT</t>
  </si>
  <si>
    <t>6-pin breakout, external</t>
  </si>
  <si>
    <t>Robu.in / Evelta</t>
  </si>
  <si>
    <t>R_LRL</t>
  </si>
  <si>
    <t>10kW 1% — Left module L/R pulldown to GND (selects Left I2S slot)</t>
  </si>
  <si>
    <t>RC0603FR-0710KL</t>
  </si>
  <si>
    <t>R_LRR</t>
  </si>
  <si>
    <t>10kW 1% — Right module L/R pullup to 3V3 (selects Right I2S slot)</t>
  </si>
  <si>
    <t>C_MICVDD1, C_MICVDD2</t>
  </si>
  <si>
    <t>100nF 50V X7R — local VDD decoupling at each mic connector</t>
  </si>
  <si>
    <t>ESP32-S3 dual-core MCU module, 8MB flash, 8MB Octal PSRAM</t>
  </si>
  <si>
    <t>ESP32-S3-WROOM-1-N8 R8</t>
  </si>
  <si>
    <t>SMD Module 18×25.5mm</t>
  </si>
  <si>
    <t>Robu.in / Evelta / Amar Radio (Chandni)</t>
  </si>
  <si>
    <t>U2</t>
  </si>
  <si>
    <t>3.3V 1.0A LDO regulator (5V ® 3.3V)</t>
  </si>
  <si>
    <t>AMS1117-3.3 / AP2114H-3.3TRG1</t>
  </si>
  <si>
    <t>SOT-223</t>
  </si>
  <si>
    <t>Supreme Electronics / Robu.in</t>
  </si>
  <si>
    <t>C_SERVO</t>
  </si>
  <si>
    <t>220μF 16V low-ESR radial — tilt servo inrush buffer</t>
  </si>
  <si>
    <t>UPW1C221MPD</t>
  </si>
  <si>
    <t>Radial 6.3×11mm</t>
  </si>
  <si>
    <t>Classic Electronics / Chandni</t>
  </si>
  <si>
    <t>10μF 16V X5R ceramic (LDO in/out, camera 3.3V)</t>
  </si>
  <si>
    <t>C4-C8</t>
  </si>
  <si>
    <t>J_CAM</t>
  </si>
  <si>
    <t>24-pin 0.5mm FPC connector (bottom-contact, ZIF)</t>
  </si>
  <si>
    <t>FH12-24S-0.5SH(55)</t>
  </si>
  <si>
    <t>0.5mm SMD R/A</t>
  </si>
  <si>
    <t>Evelta / Robu.in</t>
  </si>
  <si>
    <t>CAM_MOD</t>
  </si>
  <si>
    <t>OV2640 2MP camera sensor, 75mm extended flex, wide angle</t>
  </si>
  <si>
    <t>OV2640-FPC-75MM</t>
  </si>
  <si>
    <t>24-pin 0.5mm FPC</t>
  </si>
  <si>
    <t>Robu.in / Supreme Electronics</t>
  </si>
  <si>
    <t>R_CAM1, R_CAM2</t>
  </si>
  <si>
    <t>2.2kW 1% — camera SCCB/I2C pull-up (SIOD/SIOC)</t>
  </si>
  <si>
    <t>RC0603FR-072K2L</t>
  </si>
  <si>
    <t>J_TFT</t>
  </si>
  <si>
    <t>20-pin 0.5mm FPC connector (back-flip lock)</t>
  </si>
  <si>
    <t>20PIN-05-FPC</t>
  </si>
  <si>
    <t>TFT_PANEL</t>
  </si>
  <si>
    <t>2.4" 320×240 ILI9341 TFT, 20-pin bare flex</t>
  </si>
  <si>
    <t>ILI9341-2.4-20P-FPC</t>
  </si>
  <si>
    <t>20-pin FPC panel</t>
  </si>
  <si>
    <t>Robu.in / Quartz / Chandni</t>
  </si>
  <si>
    <t>R_BL</t>
  </si>
  <si>
    <t>10W 1% 1/8W — backlight current limiter</t>
  </si>
  <si>
    <t>RC0805FR-0710RL</t>
  </si>
  <si>
    <t>J_T1-J_T4</t>
  </si>
  <si>
    <t>4× 3-pin JST-PH (to external TTP223 modules)</t>
  </si>
  <si>
    <t>Evelta / Robu.in / Chandni</t>
  </si>
  <si>
    <t>TP_T1-TP_T4</t>
  </si>
  <si>
    <t>Circular copper touch pads (native capacitive touch alt.)</t>
  </si>
  <si>
    <t>PAD-TOUCH-ROUND-6MM</t>
  </si>
  <si>
    <t>PCB top copper pad</t>
  </si>
  <si>
    <t>TTP223_MOD</t>
  </si>
  <si>
    <t>TTP223 capacitive touch breakout module</t>
  </si>
  <si>
    <t>TTP223-MODULE</t>
  </si>
  <si>
    <t>Mini PCB, external</t>
  </si>
  <si>
    <t>Supreme Electronics / Chandni</t>
  </si>
  <si>
    <t>R_PD1-R_PD4</t>
  </si>
  <si>
    <t>10kW 1% — optional touch input pulldown</t>
  </si>
  <si>
    <t>3-pin 2.54mm header — tilt servo GND/5V/PWM</t>
  </si>
  <si>
    <t>1X3-PIN-HEADER-2.54</t>
  </si>
  <si>
    <t>2.54mm vertical</t>
  </si>
  <si>
    <t>SERVO_MOD</t>
  </si>
  <si>
    <t>MG90S metal-gear micro servo 9g</t>
  </si>
  <si>
    <t>MG90S-SERVO</t>
  </si>
  <si>
    <t>External actuator</t>
  </si>
  <si>
    <t>4-pin JST-PH — to Body board (5V, GND, TX, RX)</t>
  </si>
  <si>
    <t>TP_POGO1-8</t>
  </si>
  <si>
    <t>8× pogo test pads — 3V3/GND/EN/IO0/TX0/RX0/D-/D+</t>
  </si>
  <si>
    <t>PAD-POGO-1.5MM</t>
  </si>
  <si>
    <t>1.5mm copper pad</t>
  </si>
  <si>
    <t>PCB bottom etched copper</t>
  </si>
  <si>
    <t>R_EN</t>
  </si>
  <si>
    <t>10kW 1% — EN pin pull-up</t>
  </si>
  <si>
    <t>C_EN</t>
  </si>
  <si>
    <t>1μF 16V X7R — EN power-on delay</t>
  </si>
  <si>
    <t>CC0603KRX7R7BB105</t>
  </si>
  <si>
    <t>R_BOOT</t>
  </si>
  <si>
    <t>10kW 1% — GPIO0 boot-mode pull-up</t>
  </si>
  <si>
    <t>Green LED — 3.3V power indicator</t>
  </si>
  <si>
    <t>PCB</t>
  </si>
  <si>
    <t>Custom PCB (2 layer)</t>
  </si>
  <si>
    <t>CUSTOM-PCB-2L</t>
  </si>
  <si>
    <t>2-Layer FR4</t>
  </si>
  <si>
    <t>Custom Fabrication</t>
  </si>
  <si>
    <t>SD1</t>
  </si>
  <si>
    <t>32GB Micro SD Card, Class 10 UHS-I</t>
  </si>
  <si>
    <t>SDSQUAR-032G-GN6MA</t>
  </si>
  <si>
    <t>MicroSD</t>
  </si>
  <si>
    <t>MISC</t>
  </si>
  <si>
    <t>Miscellaneous and wires</t>
  </si>
  <si>
    <t>SUBTOTAL</t>
  </si>
  <si>
    <t>Section A — Electronics Subtotal</t>
  </si>
  <si>
    <t>SECTION B: MECHANICAL &amp; HARDWARE COMPONENTS</t>
  </si>
  <si>
    <t>ENC1</t>
  </si>
  <si>
    <t>3D Printed ABS Shell</t>
  </si>
  <si>
    <t>3DP-ABS-SHELL-01</t>
  </si>
  <si>
    <t>3D Printed ABS</t>
  </si>
  <si>
    <t>3D Printing Service</t>
  </si>
  <si>
    <t>ACR1</t>
  </si>
  <si>
    <t>Transparent Acrylic Sheet (2mm thickness)</t>
  </si>
  <si>
    <t>ACR-CLR-2MM</t>
  </si>
  <si>
    <t>2mm Cut Sheet</t>
  </si>
  <si>
    <t>Local Acrylic Fabricator / Robu.in</t>
  </si>
  <si>
    <t>SCR1</t>
  </si>
  <si>
    <t>M3 × 12mm Phillips Pan Head Machine Screw</t>
  </si>
  <si>
    <t>SCREW-M3-12-PAN-PH</t>
  </si>
  <si>
    <t>M3 × 12mm</t>
  </si>
  <si>
    <t>SCR2</t>
  </si>
  <si>
    <t>M3 × 12mm CSK Countersunk Phillips Flat Head Screw</t>
  </si>
  <si>
    <t>SCREW-M3-12-CSK-PH</t>
  </si>
  <si>
    <t>M3 × 12mm CSK</t>
  </si>
  <si>
    <t>Robu.in / Sharvi Electronics</t>
  </si>
  <si>
    <t>SCR3</t>
  </si>
  <si>
    <t>M2 × 10mm Phillips Pan Head Machine Screw</t>
  </si>
  <si>
    <t>SCREW-M2-10-PAN-PH</t>
  </si>
  <si>
    <t>M2 × 10mm</t>
  </si>
  <si>
    <t>Quartz Components / Fastdep.in</t>
  </si>
  <si>
    <t>SCR4</t>
  </si>
  <si>
    <t>M1 × 5mm Phillips Pan Head Micro Screw</t>
  </si>
  <si>
    <t>SCREW-M1-5-PAN-PH</t>
  </si>
  <si>
    <t>M1 × 5mm</t>
  </si>
  <si>
    <t>Local Hardware / IndiaMART</t>
  </si>
  <si>
    <t>BRG1</t>
  </si>
  <si>
    <t>Deep Groove Ball Bearing (32mm OD × 10mm ID × 9mm)</t>
  </si>
  <si>
    <t>BB-6200-2RS-32MM</t>
  </si>
  <si>
    <t>32mm OD Bearing</t>
  </si>
  <si>
    <t>Local Bearing Market / Robu.in</t>
  </si>
  <si>
    <t>INS1</t>
  </si>
  <si>
    <t>M3 × 4mm Knurled Brass Heat-Set Threaded Insert</t>
  </si>
  <si>
    <t>INSERT-BRASS-M3-4MM</t>
  </si>
  <si>
    <t>M3 × 4mm</t>
  </si>
  <si>
    <t>Section B — Mechanical &amp; Hardware Subtotal</t>
  </si>
  <si>
    <t>SECTION C: PACKAGING, ACCESSORIES &amp; DOCUMENTATION</t>
  </si>
  <si>
    <t>ADPT1</t>
  </si>
  <si>
    <t>5V 3A Power Adapter with USB Type-C Plug (EU/India 2-pin)</t>
  </si>
  <si>
    <t>ADP-0530-USBC</t>
  </si>
  <si>
    <t>Wall Adapter (Wall Wart)</t>
  </si>
  <si>
    <t>CBL1</t>
  </si>
  <si>
    <t>USB Type-C to Type-C Cable (1m, 3A / 60W rated, PVC/TPE)</t>
  </si>
  <si>
    <t>CBL-USBC-1M-3A</t>
  </si>
  <si>
    <t>1m Cable Harness</t>
  </si>
  <si>
    <t>DOC1</t>
  </si>
  <si>
    <t>User Manual &amp; Quick Start Guide (A5, 8 pages, color, saddle-stitch)</t>
  </si>
  <si>
    <t>MAN-ADAM-V10</t>
  </si>
  <si>
    <t>A5 Booklet</t>
  </si>
  <si>
    <t>Printster.in / Local Print House</t>
  </si>
  <si>
    <t>BOX1</t>
  </si>
  <si>
    <t>Custom Printed Corrugated Packaging Box (E-Flute, 200×150×100mm)</t>
  </si>
  <si>
    <t>BOX-CORR-200X150</t>
  </si>
  <si>
    <t>3-Ply Corrugated Box</t>
  </si>
  <si>
    <t>Boxify.co.in / TradeIndia / Local Fabricator</t>
  </si>
  <si>
    <t>PKG1</t>
  </si>
  <si>
    <t>Die-cut Protective EPE Foam Insert &amp; Packaging Cushioning</t>
  </si>
  <si>
    <t>PKG-EPE-INSERT</t>
  </si>
  <si>
    <t>Custom Die-cut Foam</t>
  </si>
  <si>
    <t>DCGPac / Local Packaging Supplier</t>
  </si>
  <si>
    <t>Section C — Packaging &amp; Accessories Subtotal</t>
  </si>
  <si>
    <t/>
  </si>
  <si>
    <t>TOTAL</t>
  </si>
  <si>
    <t>Grand Total (Electronics + Mechanical + Packaging)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</si>
</sst>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#,##0.00"/>
    <numFmt numFmtId="165" formatCode="₹#,##0.00"/>
  </numFmts>
  <fonts count="11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b/>
      <sz val="9.0"/>
      <color rgb="FF465469"/>
      <name val="Arial"/>
      <scheme val="minor"/>
    </font>
    <font/>
    <font>
      <b/>
      <sz val="15.0"/>
      <color rgb="FF1E3989"/>
      <name val="Arial"/>
      <scheme val="minor"/>
    </font>
    <font>
      <b/>
      <sz val="10.0"/>
      <color rgb="FFFFFFFF"/>
      <name val="Arial"/>
      <scheme val="minor"/>
    </font>
    <font>
      <sz val="10.0"/>
      <color rgb="FF1E293A"/>
      <name val="Arial"/>
      <scheme val="minor"/>
    </font>
    <font>
      <sz val="10.0"/>
      <color rgb="FF1E293A"/>
      <name val="Arial"/>
    </font>
    <font>
      <b/>
      <sz val="10.0"/>
      <color rgb="FF1E3989"/>
      <name val="Arial"/>
      <scheme val="minor"/>
    </font>
    <font>
      <b/>
      <sz val="10.0"/>
      <color rgb="FF24476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EDF1F6"/>
        <bgColor rgb="FFEDF1F6"/>
      </patternFill>
    </fill>
    <fill>
      <patternFill patternType="solid">
        <fgColor rgb="FFF8F9FB"/>
        <bgColor rgb="FFF8F9FB"/>
      </patternFill>
    </fill>
    <fill>
      <patternFill patternType="solid">
        <fgColor rgb="FF2B4B7D"/>
        <bgColor rgb="FF2B4B7D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244760"/>
        <bgColor rgb="FF244760"/>
      </patternFill>
    </fill>
    <fill>
      <patternFill patternType="solid">
        <fgColor rgb="FFEDF2F7"/>
        <bgColor rgb="FFEDF2F7"/>
      </patternFill>
    </fill>
    <fill>
      <patternFill patternType="solid">
        <fgColor rgb="FFE6ECF5"/>
        <bgColor rgb="FFE6ECF5"/>
      </patternFill>
    </fill>
  </fills>
  <borders count="30">
    <border/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CAD4E0"/>
      </left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CAD4E0"/>
      </left>
      <bottom style="thin">
        <color rgb="FFE1E8EF"/>
      </bottom>
    </border>
    <border>
      <bottom style="thin">
        <color rgb="FFE1E8EF"/>
      </bottom>
    </border>
    <border>
      <right style="thin">
        <color rgb="FFCAD4E0"/>
      </right>
      <bottom style="thin">
        <color rgb="FFE1E8EF"/>
      </bottom>
    </border>
    <border>
      <left style="thin">
        <color rgb="FFCAD4E0"/>
      </left>
      <top style="thin">
        <color rgb="FFE1E8EF"/>
      </top>
      <bottom style="thin">
        <color rgb="FFE1E8EF"/>
      </bottom>
    </border>
    <border>
      <top style="thin">
        <color rgb="FFE1E8EF"/>
      </top>
    </border>
    <border>
      <top style="thin">
        <color rgb="FFE1E8EF"/>
      </top>
      <bottom style="thin">
        <color rgb="FFE1E8EF"/>
      </bottom>
    </border>
    <border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top style="thin">
        <color rgb="FFE1E8EF"/>
      </top>
    </border>
    <border>
      <right style="thin">
        <color rgb="FFCAD4E0"/>
      </right>
      <top style="thin">
        <color rgb="FFE1E8EF"/>
      </top>
    </border>
    <border>
      <left style="thin">
        <color rgb="FFCAD4E0"/>
      </left>
      <top style="thin">
        <color rgb="FFE1E8EF"/>
      </top>
      <bottom style="thin">
        <color rgb="FF1E3989"/>
      </bottom>
    </border>
    <border>
      <top style="thin">
        <color rgb="FFE1E8EF"/>
      </top>
      <bottom style="thin">
        <color rgb="FF1E3989"/>
      </bottom>
    </border>
    <border>
      <right style="thin">
        <color rgb="FFCAD4E0"/>
      </right>
      <top style="thin">
        <color rgb="FFE1E8EF"/>
      </top>
      <bottom style="thin">
        <color rgb="FF1E3989"/>
      </bottom>
    </border>
    <border>
      <left style="thin">
        <color rgb="FFCAD4E0"/>
      </left>
      <right style="thin">
        <color rgb="FFCAD4E0"/>
      </right>
      <top style="thin">
        <color rgb="FF1E3989"/>
      </top>
      <bottom style="thin">
        <color rgb="FF1E3989"/>
      </bottom>
    </border>
    <border>
      <left style="thin">
        <color rgb="FFCAD4E0"/>
      </left>
      <top style="thin">
        <color rgb="FF1E3989"/>
      </top>
      <bottom style="thin">
        <color rgb="FF1E3989"/>
      </bottom>
    </border>
    <border>
      <top style="thin">
        <color rgb="FF1E3989"/>
      </top>
      <bottom style="thin">
        <color rgb="FF1E3989"/>
      </bottom>
    </border>
    <border>
      <right style="thin">
        <color rgb="FFCAD4E0"/>
      </right>
      <top style="thin">
        <color rgb="FF1E3989"/>
      </top>
      <bottom style="thin">
        <color rgb="FF1E3989"/>
      </bottom>
    </border>
    <border>
      <left style="thin">
        <color rgb="FFCAD4E0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CAD4E0"/>
      </right>
      <bottom style="thin">
        <color rgb="FF244760"/>
      </bottom>
    </border>
    <border>
      <left style="thin">
        <color rgb="FFCAD4E0"/>
      </left>
      <bottom style="thin">
        <color rgb="FF244760"/>
      </bottom>
    </border>
    <border>
      <bottom style="thin">
        <color rgb="FF244760"/>
      </bottom>
    </border>
    <border>
      <right style="thin">
        <color rgb="FFCAD4E0"/>
      </right>
      <bottom style="thin">
        <color rgb="FF244760"/>
      </bottom>
    </border>
    <border>
      <left style="thin">
        <color rgb="FFCAD4E0"/>
      </left>
      <top style="thin">
        <color rgb="FF1E3989"/>
      </top>
      <bottom style="double">
        <color rgb="FF1E3989"/>
      </bottom>
    </border>
    <border>
      <top style="thin">
        <color rgb="FF1E3989"/>
      </top>
      <bottom style="double">
        <color rgb="FF1E3989"/>
      </bottom>
    </border>
    <border>
      <right style="thin">
        <color rgb="FFCAD4E0"/>
      </right>
      <top style="thin">
        <color rgb="FF1E3989"/>
      </top>
      <bottom style="double">
        <color rgb="FF1E3989"/>
      </bottom>
    </border>
    <border>
      <left style="thin">
        <color rgb="FFCAD4E0"/>
      </left>
      <right style="thin">
        <color rgb="FFCAD4E0"/>
      </right>
      <top style="thin">
        <color rgb="FF1E3989"/>
      </top>
      <bottom style="double">
        <color rgb="FF1E3989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0" fillId="3" fontId="3" numFmtId="0" xfId="0" applyAlignment="1" applyFill="1" applyFont="1">
      <alignment horizontal="center" vertical="center"/>
    </xf>
    <xf borderId="3" fillId="4" fontId="5" numFmtId="164" xfId="0" applyAlignment="1" applyBorder="1" applyFill="1" applyFont="1" applyNumberFormat="1">
      <alignment horizontal="center" vertical="center"/>
    </xf>
    <xf borderId="4" fillId="0" fontId="4" numFmtId="0" xfId="0" applyBorder="1" applyFont="1"/>
    <xf borderId="0" fillId="4" fontId="5" numFmtId="0" xfId="0" applyAlignment="1" applyFill="1" applyFont="1">
      <alignment horizontal="center" vertical="center"/>
    </xf>
    <xf borderId="3" fillId="4" fontId="5" numFmtId="3" xfId="0" applyAlignment="1" applyBorder="1" applyFill="1" applyFont="1" applyNumberFormat="1">
      <alignment horizontal="center" vertical="center"/>
    </xf>
    <xf borderId="0" fillId="2" fontId="6" numFmtId="0" xfId="0" applyAlignment="1" applyFill="1" applyFont="1">
      <alignment horizontal="center" vertical="center"/>
    </xf>
    <xf borderId="0" fillId="5" fontId="6" numFmtId="0" xfId="0" applyAlignment="1" applyFill="1" applyFont="1">
      <alignment horizontal="center" readingOrder="0" vertical="center"/>
    </xf>
    <xf borderId="5" fillId="6" fontId="7" numFmtId="0" xfId="0" applyAlignment="1" applyBorder="1" applyFill="1" applyFont="1">
      <alignment horizontal="center" readingOrder="0" vertical="center"/>
    </xf>
    <xf borderId="6" fillId="6" fontId="7" numFmtId="0" xfId="0" applyAlignment="1" applyBorder="1" applyFill="1" applyFont="1">
      <alignment horizontal="center" readingOrder="0" vertical="center"/>
    </xf>
    <xf borderId="6" fillId="6" fontId="7" numFmtId="3" xfId="0" applyAlignment="1" applyBorder="1" applyFill="1" applyFont="1" applyNumberFormat="1">
      <alignment horizontal="center" readingOrder="0" vertical="center"/>
    </xf>
    <xf borderId="6" fillId="6" fontId="7" numFmtId="164" xfId="0" applyAlignment="1" applyBorder="1" applyFill="1" applyFont="1" applyNumberFormat="1">
      <alignment horizontal="center" readingOrder="0" vertical="center"/>
    </xf>
    <xf borderId="6" fillId="6" fontId="7" numFmtId="164" xfId="0" applyAlignment="1" applyBorder="1" applyFill="1" applyFont="1" applyNumberFormat="1">
      <alignment horizontal="center" vertical="center"/>
    </xf>
    <xf borderId="7" fillId="6" fontId="7" numFmtId="0" xfId="0" applyAlignment="1" applyBorder="1" applyFill="1" applyFont="1">
      <alignment horizontal="center" readingOrder="0" vertical="center"/>
    </xf>
    <xf borderId="8" fillId="7" fontId="7" numFmtId="0" xfId="0" applyAlignment="1" applyBorder="1" applyFill="1" applyFont="1">
      <alignment horizontal="center" readingOrder="0" vertical="center"/>
    </xf>
    <xf borderId="9" fillId="7" fontId="7" numFmtId="0" xfId="0" applyAlignment="1" applyBorder="1" applyFill="1" applyFont="1">
      <alignment horizontal="center" readingOrder="0" vertical="center"/>
    </xf>
    <xf borderId="10" fillId="7" fontId="7" numFmtId="3" xfId="0" applyAlignment="1" applyBorder="1" applyFill="1" applyFont="1" applyNumberFormat="1">
      <alignment horizontal="center" readingOrder="0" vertical="center"/>
    </xf>
    <xf borderId="10" fillId="7" fontId="7" numFmtId="164" xfId="0" applyAlignment="1" applyBorder="1" applyFill="1" applyFont="1" applyNumberFormat="1">
      <alignment horizontal="center" readingOrder="0" vertical="center"/>
    </xf>
    <xf borderId="10" fillId="7" fontId="7" numFmtId="164" xfId="0" applyAlignment="1" applyBorder="1" applyFill="1" applyFont="1" applyNumberFormat="1">
      <alignment horizontal="center" vertical="center"/>
    </xf>
    <xf borderId="11" fillId="7" fontId="7" numFmtId="0" xfId="0" applyAlignment="1" applyBorder="1" applyFill="1" applyFont="1">
      <alignment horizontal="center" readingOrder="0" vertical="center"/>
    </xf>
    <xf borderId="8" fillId="6" fontId="7" numFmtId="0" xfId="0" applyAlignment="1" applyBorder="1" applyFill="1" applyFont="1">
      <alignment horizontal="center" readingOrder="0" vertical="center"/>
    </xf>
    <xf borderId="10" fillId="6" fontId="7" numFmtId="0" xfId="0" applyAlignment="1" applyBorder="1" applyFill="1" applyFont="1">
      <alignment horizontal="center" readingOrder="0" vertical="center"/>
    </xf>
    <xf borderId="10" fillId="6" fontId="7" numFmtId="3" xfId="0" applyAlignment="1" applyBorder="1" applyFill="1" applyFont="1" applyNumberFormat="1">
      <alignment horizontal="center" readingOrder="0" vertical="center"/>
    </xf>
    <xf borderId="10" fillId="6" fontId="7" numFmtId="164" xfId="0" applyAlignment="1" applyBorder="1" applyFill="1" applyFont="1" applyNumberFormat="1">
      <alignment horizontal="center" readingOrder="0" vertical="center"/>
    </xf>
    <xf borderId="10" fillId="6" fontId="7" numFmtId="164" xfId="0" applyAlignment="1" applyBorder="1" applyFill="1" applyFont="1" applyNumberFormat="1">
      <alignment horizontal="center" vertical="center"/>
    </xf>
    <xf borderId="11" fillId="6" fontId="7" numFmtId="0" xfId="0" applyAlignment="1" applyBorder="1" applyFill="1" applyFont="1">
      <alignment horizontal="center" readingOrder="0" vertical="center"/>
    </xf>
    <xf borderId="8" fillId="7" fontId="7" numFmtId="0" xfId="0" applyAlignment="1" applyBorder="1" applyFill="1" applyFont="1">
      <alignment horizontal="center" readingOrder="0" vertical="center"/>
    </xf>
    <xf borderId="10" fillId="7" fontId="7" numFmtId="0" xfId="0" applyAlignment="1" applyBorder="1" applyFill="1" applyFont="1">
      <alignment horizontal="center" readingOrder="0" vertical="center"/>
    </xf>
    <xf quotePrefix="1" borderId="10" fillId="7" fontId="7" numFmtId="0" xfId="0" applyAlignment="1" applyBorder="1" applyFill="1" applyFont="1">
      <alignment horizontal="center" readingOrder="0" vertical="center"/>
    </xf>
    <xf borderId="10" fillId="7" fontId="7" numFmtId="3" xfId="0" applyAlignment="1" applyBorder="1" applyFill="1" applyFont="1" applyNumberFormat="1">
      <alignment horizontal="center" readingOrder="0" vertical="center"/>
    </xf>
    <xf borderId="10" fillId="7" fontId="7" numFmtId="164" xfId="0" applyAlignment="1" applyBorder="1" applyFill="1" applyFont="1" applyNumberFormat="1">
      <alignment horizontal="center" readingOrder="0" vertical="center"/>
    </xf>
    <xf borderId="10" fillId="7" fontId="7" numFmtId="164" xfId="0" applyAlignment="1" applyBorder="1" applyFill="1" applyFont="1" applyNumberFormat="1">
      <alignment horizontal="center" vertical="center"/>
    </xf>
    <xf borderId="11" fillId="7" fontId="7" numFmtId="0" xfId="0" applyAlignment="1" applyBorder="1" applyFill="1" applyFont="1">
      <alignment horizontal="center" readingOrder="0" vertical="center"/>
    </xf>
    <xf quotePrefix="1" borderId="10" fillId="6" fontId="7" numFmtId="0" xfId="0" applyAlignment="1" applyBorder="1" applyFill="1" applyFont="1">
      <alignment horizontal="center" readingOrder="0" vertical="center"/>
    </xf>
    <xf borderId="12" fillId="7" fontId="7" numFmtId="0" xfId="0" applyAlignment="1" applyBorder="1" applyFill="1" applyFont="1">
      <alignment horizontal="center" readingOrder="0" vertical="center"/>
    </xf>
    <xf borderId="9" fillId="7" fontId="7" numFmtId="0" xfId="0" applyAlignment="1" applyBorder="1" applyFill="1" applyFont="1">
      <alignment horizontal="center" readingOrder="0" vertical="center"/>
    </xf>
    <xf quotePrefix="1" borderId="9" fillId="7" fontId="7" numFmtId="0" xfId="0" applyAlignment="1" applyBorder="1" applyFill="1" applyFont="1">
      <alignment horizontal="center" readingOrder="0" vertical="center"/>
    </xf>
    <xf borderId="9" fillId="7" fontId="7" numFmtId="3" xfId="0" applyAlignment="1" applyBorder="1" applyFill="1" applyFont="1" applyNumberFormat="1">
      <alignment horizontal="center" readingOrder="0" vertical="center"/>
    </xf>
    <xf borderId="9" fillId="7" fontId="7" numFmtId="164" xfId="0" applyAlignment="1" applyBorder="1" applyFill="1" applyFont="1" applyNumberFormat="1">
      <alignment horizontal="center" readingOrder="0" vertical="center"/>
    </xf>
    <xf borderId="9" fillId="7" fontId="7" numFmtId="164" xfId="0" applyAlignment="1" applyBorder="1" applyFill="1" applyFont="1" applyNumberFormat="1">
      <alignment horizontal="center" vertical="center"/>
    </xf>
    <xf borderId="13" fillId="7" fontId="7" numFmtId="0" xfId="0" applyAlignment="1" applyBorder="1" applyFill="1" applyFont="1">
      <alignment horizontal="center" readingOrder="0" vertical="center"/>
    </xf>
    <xf borderId="8" fillId="6" fontId="8" numFmtId="0" xfId="0" applyAlignment="1" applyBorder="1" applyFill="1" applyFont="1">
      <alignment horizontal="center" readingOrder="0" vertical="center"/>
    </xf>
    <xf borderId="10" fillId="6" fontId="8" numFmtId="0" xfId="0" applyAlignment="1" applyBorder="1" applyFill="1" applyFont="1">
      <alignment horizontal="center" readingOrder="0" vertical="center"/>
    </xf>
    <xf borderId="10" fillId="6" fontId="8" numFmtId="3" xfId="0" applyAlignment="1" applyBorder="1" applyFill="1" applyFont="1" applyNumberFormat="1">
      <alignment horizontal="center" readingOrder="0" vertical="center"/>
    </xf>
    <xf borderId="10" fillId="6" fontId="8" numFmtId="164" xfId="0" applyAlignment="1" applyBorder="1" applyFill="1" applyFont="1" applyNumberFormat="1">
      <alignment horizontal="center" readingOrder="0" vertical="center"/>
    </xf>
    <xf borderId="10" fillId="6" fontId="8" numFmtId="164" xfId="0" applyAlignment="1" applyBorder="1" applyFill="1" applyFont="1" applyNumberFormat="1">
      <alignment horizontal="center" vertical="center"/>
    </xf>
    <xf borderId="11" fillId="6" fontId="8" numFmtId="0" xfId="0" applyAlignment="1" applyBorder="1" applyFill="1" applyFont="1">
      <alignment horizontal="center" readingOrder="0" vertical="center"/>
    </xf>
    <xf borderId="8" fillId="7" fontId="8" numFmtId="0" xfId="0" applyAlignment="1" applyBorder="1" applyFill="1" applyFont="1">
      <alignment horizontal="center" readingOrder="0" vertical="center"/>
    </xf>
    <xf borderId="9" fillId="7" fontId="8" numFmtId="0" xfId="0" applyAlignment="1" applyBorder="1" applyFill="1" applyFont="1">
      <alignment horizontal="center" readingOrder="0" vertical="center"/>
    </xf>
    <xf borderId="10" fillId="7" fontId="8" numFmtId="3" xfId="0" applyAlignment="1" applyBorder="1" applyFill="1" applyFont="1" applyNumberFormat="1">
      <alignment horizontal="center" readingOrder="0" vertical="center"/>
    </xf>
    <xf borderId="10" fillId="7" fontId="8" numFmtId="164" xfId="0" applyAlignment="1" applyBorder="1" applyFill="1" applyFont="1" applyNumberFormat="1">
      <alignment horizontal="center" readingOrder="0" vertical="center"/>
    </xf>
    <xf borderId="10" fillId="7" fontId="8" numFmtId="164" xfId="0" applyAlignment="1" applyBorder="1" applyFill="1" applyFont="1" applyNumberFormat="1">
      <alignment horizontal="center" vertical="center"/>
    </xf>
    <xf borderId="11" fillId="7" fontId="8" numFmtId="0" xfId="0" applyAlignment="1" applyBorder="1" applyFill="1" applyFont="1">
      <alignment horizontal="center" readingOrder="0" vertical="center"/>
    </xf>
    <xf borderId="8" fillId="6" fontId="7" numFmtId="0" xfId="0" applyAlignment="1" applyBorder="1" applyFill="1" applyFont="1">
      <alignment horizontal="center" vertical="center"/>
    </xf>
    <xf borderId="10" fillId="6" fontId="7" numFmtId="0" xfId="0" applyAlignment="1" applyBorder="1" applyFill="1" applyFont="1">
      <alignment horizontal="center" vertical="center"/>
    </xf>
    <xf borderId="10" fillId="6" fontId="7" numFmtId="3" xfId="0" applyAlignment="1" applyBorder="1" applyFill="1" applyFont="1" applyNumberFormat="1">
      <alignment horizontal="center" vertical="center"/>
    </xf>
    <xf borderId="11" fillId="6" fontId="7" numFmtId="0" xfId="0" applyAlignment="1" applyBorder="1" applyFill="1" applyFont="1">
      <alignment horizontal="center" vertical="center"/>
    </xf>
    <xf borderId="8" fillId="7" fontId="7" numFmtId="0" xfId="0" applyAlignment="1" applyBorder="1" applyFill="1" applyFont="1">
      <alignment horizontal="center" vertical="center"/>
    </xf>
    <xf borderId="9" fillId="7" fontId="7" numFmtId="0" xfId="0" applyAlignment="1" applyBorder="1" applyFill="1" applyFont="1">
      <alignment horizontal="center" vertical="center"/>
    </xf>
    <xf borderId="10" fillId="7" fontId="7" numFmtId="3" xfId="0" applyAlignment="1" applyBorder="1" applyFill="1" applyFont="1" applyNumberFormat="1">
      <alignment horizontal="center" vertical="center"/>
    </xf>
    <xf borderId="11" fillId="7" fontId="7" numFmtId="0" xfId="0" applyAlignment="1" applyBorder="1" applyFill="1" applyFont="1">
      <alignment horizontal="center" vertical="center"/>
    </xf>
    <xf borderId="8" fillId="6" fontId="8" numFmtId="0" xfId="0" applyAlignment="1" applyBorder="1" applyFill="1" applyFont="1">
      <alignment horizontal="center" readingOrder="0" vertical="center"/>
    </xf>
    <xf borderId="10" fillId="6" fontId="8" numFmtId="0" xfId="0" applyAlignment="1" applyBorder="1" applyFill="1" applyFont="1">
      <alignment horizontal="center" readingOrder="0" vertical="center"/>
    </xf>
    <xf borderId="10" fillId="6" fontId="8" numFmtId="3" xfId="0" applyAlignment="1" applyBorder="1" applyFill="1" applyFont="1" applyNumberFormat="1">
      <alignment horizontal="center" readingOrder="0" vertical="center"/>
    </xf>
    <xf borderId="10" fillId="6" fontId="8" numFmtId="164" xfId="0" applyAlignment="1" applyBorder="1" applyFill="1" applyFont="1" applyNumberFormat="1">
      <alignment horizontal="center" readingOrder="0" vertical="center"/>
    </xf>
    <xf borderId="10" fillId="6" fontId="8" numFmtId="164" xfId="0" applyAlignment="1" applyBorder="1" applyFill="1" applyFont="1" applyNumberFormat="1">
      <alignment horizontal="center" vertical="center"/>
    </xf>
    <xf borderId="11" fillId="6" fontId="8" numFmtId="0" xfId="0" applyAlignment="1" applyBorder="1" applyFill="1" applyFont="1">
      <alignment horizontal="center" readingOrder="0" vertical="center"/>
    </xf>
    <xf borderId="9" fillId="6" fontId="7" numFmtId="0" xfId="0" applyAlignment="1" applyBorder="1" applyFill="1" applyFont="1">
      <alignment horizontal="center" readingOrder="0" vertical="center"/>
    </xf>
    <xf borderId="10" fillId="7" fontId="7" numFmtId="165" xfId="0" applyAlignment="1" applyBorder="1" applyFill="1" applyFont="1" applyNumberFormat="1">
      <alignment horizontal="center" readingOrder="0" vertical="center"/>
    </xf>
    <xf borderId="10" fillId="7" fontId="7" numFmtId="165" xfId="0" applyAlignment="1" applyBorder="1" applyFill="1" applyFont="1" applyNumberFormat="1">
      <alignment horizontal="center" vertical="center"/>
    </xf>
    <xf borderId="10" fillId="6" fontId="7" numFmtId="165" xfId="0" applyAlignment="1" applyBorder="1" applyFill="1" applyFont="1" applyNumberFormat="1">
      <alignment horizontal="center" readingOrder="0" vertical="center"/>
    </xf>
    <xf borderId="10" fillId="6" fontId="7" numFmtId="165" xfId="0" applyAlignment="1" applyBorder="1" applyFill="1" applyFont="1" applyNumberFormat="1">
      <alignment horizontal="center" vertical="center"/>
    </xf>
    <xf borderId="10" fillId="7" fontId="7" numFmtId="0" xfId="0" applyAlignment="1" applyBorder="1" applyFill="1" applyFont="1">
      <alignment horizontal="center" vertical="center"/>
    </xf>
    <xf borderId="14" fillId="7" fontId="8" numFmtId="0" xfId="0" applyAlignment="1" applyBorder="1" applyFill="1" applyFont="1">
      <alignment horizontal="center" readingOrder="0" vertical="center"/>
    </xf>
    <xf borderId="15" fillId="7" fontId="8" numFmtId="0" xfId="0" applyAlignment="1" applyBorder="1" applyFill="1" applyFont="1">
      <alignment horizontal="center" readingOrder="0" vertical="center"/>
    </xf>
    <xf borderId="15" fillId="7" fontId="8" numFmtId="0" xfId="0" applyAlignment="1" applyBorder="1" applyFill="1" applyFont="1">
      <alignment horizontal="center" vertical="center"/>
    </xf>
    <xf borderId="15" fillId="7" fontId="8" numFmtId="3" xfId="0" applyAlignment="1" applyBorder="1" applyFill="1" applyFont="1" applyNumberFormat="1">
      <alignment horizontal="center" readingOrder="0" vertical="center"/>
    </xf>
    <xf borderId="15" fillId="7" fontId="8" numFmtId="164" xfId="0" applyAlignment="1" applyBorder="1" applyFill="1" applyFont="1" applyNumberFormat="1">
      <alignment horizontal="center" readingOrder="0" vertical="center"/>
    </xf>
    <xf borderId="15" fillId="7" fontId="8" numFmtId="164" xfId="0" applyAlignment="1" applyBorder="1" applyFill="1" applyFont="1" applyNumberFormat="1">
      <alignment horizontal="center" vertical="center"/>
    </xf>
    <xf borderId="16" fillId="7" fontId="8" numFmtId="0" xfId="0" applyAlignment="1" applyBorder="1" applyFill="1" applyFont="1">
      <alignment horizontal="center" vertical="center"/>
    </xf>
    <xf borderId="17" fillId="3" fontId="9" numFmtId="0" xfId="0" applyAlignment="1" applyBorder="1" applyFill="1" applyFont="1">
      <alignment horizontal="center" readingOrder="0" vertical="center"/>
    </xf>
    <xf borderId="18" fillId="3" fontId="9" numFmtId="0" xfId="0" applyAlignment="1" applyBorder="1" applyFill="1" applyFont="1">
      <alignment horizontal="center" readingOrder="0" vertical="center"/>
    </xf>
    <xf borderId="19" fillId="0" fontId="4" numFmtId="0" xfId="0" applyBorder="1" applyFont="1"/>
    <xf borderId="20" fillId="0" fontId="4" numFmtId="0" xfId="0" applyBorder="1" applyFont="1"/>
    <xf borderId="17" fillId="3" fontId="9" numFmtId="3" xfId="0" applyAlignment="1" applyBorder="1" applyFill="1" applyFont="1" applyNumberFormat="1">
      <alignment horizontal="center" vertical="center"/>
    </xf>
    <xf borderId="17" fillId="3" fontId="9" numFmtId="0" xfId="0" applyAlignment="1" applyBorder="1" applyFill="1" applyFont="1">
      <alignment horizontal="center" vertical="center"/>
    </xf>
    <xf borderId="17" fillId="3" fontId="9" numFmtId="164" xfId="0" applyAlignment="1" applyBorder="1" applyFill="1" applyFont="1" applyNumberFormat="1">
      <alignment horizontal="center" vertical="center"/>
    </xf>
    <xf borderId="0" fillId="6" fontId="2" numFmtId="0" xfId="0" applyFill="1" applyFont="1"/>
    <xf borderId="0" fillId="8" fontId="6" numFmtId="0" xfId="0" applyAlignment="1" applyFill="1" applyFont="1">
      <alignment horizontal="left" readingOrder="0" vertical="center"/>
    </xf>
    <xf borderId="21" fillId="6" fontId="8" numFmtId="0" xfId="0" applyAlignment="1" applyBorder="1" applyFill="1" applyFont="1">
      <alignment horizontal="center" readingOrder="0" vertical="center"/>
    </xf>
    <xf borderId="21" fillId="6" fontId="8" numFmtId="0" xfId="0" applyAlignment="1" applyBorder="1" applyFill="1" applyFont="1">
      <alignment horizontal="left" readingOrder="0" vertical="center"/>
    </xf>
    <xf borderId="21" fillId="6" fontId="8" numFmtId="3" xfId="0" applyAlignment="1" applyBorder="1" applyFill="1" applyFont="1" applyNumberFormat="1">
      <alignment horizontal="right" readingOrder="0" vertical="center"/>
    </xf>
    <xf borderId="21" fillId="6" fontId="8" numFmtId="164" xfId="0" applyAlignment="1" applyBorder="1" applyFill="1" applyFont="1" applyNumberFormat="1">
      <alignment horizontal="right" readingOrder="0" vertical="center"/>
    </xf>
    <xf borderId="21" fillId="6" fontId="8" numFmtId="164" xfId="0" applyAlignment="1" applyBorder="1" applyFill="1" applyFont="1" applyNumberFormat="1">
      <alignment horizontal="right" vertical="center"/>
    </xf>
    <xf borderId="21" fillId="7" fontId="8" numFmtId="0" xfId="0" applyAlignment="1" applyBorder="1" applyFill="1" applyFont="1">
      <alignment horizontal="center" readingOrder="0" vertical="center"/>
    </xf>
    <xf borderId="21" fillId="7" fontId="8" numFmtId="0" xfId="0" applyAlignment="1" applyBorder="1" applyFill="1" applyFont="1">
      <alignment horizontal="left" readingOrder="0" vertical="center"/>
    </xf>
    <xf borderId="21" fillId="7" fontId="8" numFmtId="3" xfId="0" applyAlignment="1" applyBorder="1" applyFill="1" applyFont="1" applyNumberFormat="1">
      <alignment horizontal="right" readingOrder="0" vertical="center"/>
    </xf>
    <xf borderId="21" fillId="7" fontId="8" numFmtId="164" xfId="0" applyAlignment="1" applyBorder="1" applyFill="1" applyFont="1" applyNumberFormat="1">
      <alignment horizontal="right" readingOrder="0" vertical="center"/>
    </xf>
    <xf borderId="21" fillId="7" fontId="8" numFmtId="164" xfId="0" applyAlignment="1" applyBorder="1" applyFill="1" applyFont="1" applyNumberFormat="1">
      <alignment horizontal="right" vertical="center"/>
    </xf>
    <xf borderId="22" fillId="9" fontId="10" numFmtId="0" xfId="0" applyAlignment="1" applyBorder="1" applyFill="1" applyFont="1">
      <alignment horizontal="center" readingOrder="0" vertical="center"/>
    </xf>
    <xf borderId="23" fillId="9" fontId="10" numFmtId="0" xfId="0" applyAlignment="1" applyBorder="1" applyFill="1" applyFont="1">
      <alignment horizontal="left" readingOrder="0" vertical="center"/>
    </xf>
    <xf borderId="24" fillId="0" fontId="4" numFmtId="0" xfId="0" applyBorder="1" applyFont="1"/>
    <xf borderId="25" fillId="0" fontId="4" numFmtId="0" xfId="0" applyBorder="1" applyFont="1"/>
    <xf borderId="22" fillId="9" fontId="10" numFmtId="3" xfId="0" applyAlignment="1" applyBorder="1" applyFill="1" applyFont="1" applyNumberFormat="1">
      <alignment horizontal="right" vertical="center"/>
    </xf>
    <xf borderId="22" fillId="9" fontId="10" numFmtId="0" xfId="0" applyAlignment="1" applyBorder="1" applyFill="1" applyFont="1">
      <alignment vertical="center"/>
    </xf>
    <xf borderId="22" fillId="9" fontId="10" numFmtId="165" xfId="0" applyAlignment="1" applyBorder="1" applyFill="1" applyFont="1" applyNumberFormat="1">
      <alignment horizontal="right" vertical="center"/>
    </xf>
    <xf borderId="26" fillId="8" fontId="6" numFmtId="0" xfId="0" applyAlignment="1" applyBorder="1" applyFill="1" applyFont="1">
      <alignment horizontal="left" readingOrder="0" vertical="center"/>
    </xf>
    <xf borderId="27" fillId="0" fontId="4" numFmtId="0" xfId="0" applyBorder="1" applyFont="1"/>
    <xf borderId="28" fillId="0" fontId="4" numFmtId="0" xfId="0" applyBorder="1" applyFont="1"/>
    <xf borderId="22" fillId="9" fontId="10" numFmtId="0" xfId="0" applyAlignment="1" applyBorder="1" applyFill="1" applyFont="1">
      <alignment horizontal="center" vertical="center"/>
    </xf>
    <xf borderId="23" fillId="9" fontId="10" numFmtId="0" xfId="0" applyAlignment="1" applyBorder="1" applyFill="1" applyFont="1">
      <alignment horizontal="left" vertical="center"/>
    </xf>
    <xf borderId="22" fillId="9" fontId="2" numFmtId="0" xfId="0" applyBorder="1" applyFill="1" applyFont="1"/>
    <xf borderId="29" fillId="10" fontId="9" numFmtId="0" xfId="0" applyAlignment="1" applyBorder="1" applyFill="1" applyFont="1">
      <alignment horizontal="center" vertical="center"/>
    </xf>
    <xf borderId="26" fillId="10" fontId="9" numFmtId="0" xfId="0" applyAlignment="1" applyBorder="1" applyFill="1" applyFont="1">
      <alignment horizontal="left" vertical="center"/>
    </xf>
    <xf borderId="29" fillId="10" fontId="9" numFmtId="3" xfId="0" applyAlignment="1" applyBorder="1" applyFill="1" applyFont="1" applyNumberFormat="1">
      <alignment horizontal="right" vertical="center"/>
    </xf>
    <xf borderId="29" fillId="10" fontId="2" numFmtId="0" xfId="0" applyBorder="1" applyFill="1" applyFont="1"/>
    <xf borderId="29" fillId="10" fontId="9" numFmtId="165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1.38"/>
    <col customWidth="1" min="2" max="2" width="61.5"/>
    <col customWidth="1" min="3" max="3" width="25.75"/>
    <col customWidth="1" min="4" max="4" width="19.25"/>
    <col customWidth="1" min="5" max="5" width="13.5"/>
    <col customWidth="1" min="6" max="6" width="8.38"/>
    <col customWidth="1" min="7" max="7" width="14.38"/>
    <col customWidth="1" min="8" max="8" width="35.5"/>
    <col customWidth="1" min="9" max="9" width="17.63"/>
  </cols>
  <sheetData>
    <row r="1" ht="27.0" customHeight="1">
      <c r="A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ht="16.5" customHeight="1">
      <c r="A2" s="2"/>
      <c r="B2" s="3" t="s">
        <v>5</v>
      </c>
      <c r="C2" s="4"/>
      <c r="D2" s="5"/>
      <c r="E2" s="3" t="s">
        <v>6</v>
      </c>
      <c r="F2" s="4"/>
      <c r="G2" s="5"/>
      <c r="H2" s="3" t="s">
        <v>7</v>
      </c>
      <c r="I2" s="4"/>
    </row>
    <row r="3" ht="27.0" customHeight="1">
      <c r="A3" s="2"/>
      <c r="B3" s="6">
        <f>G88</f>
        <v>6500.35</v>
      </c>
      <c r="C3" s="7"/>
      <c r="D3" s="8"/>
      <c r="E3" s="9">
        <f>COUNTA(A6:A66)+COUNTA(A70:A77)+COUNTA(A81:A85)</f>
        <v>74</v>
      </c>
      <c r="F3" s="7"/>
      <c r="G3" s="8"/>
      <c r="H3" s="9">
        <f>E88</f>
        <v>146</v>
      </c>
      <c r="I3" s="7"/>
    </row>
    <row r="4" ht="22.5" customHeight="1">
      <c r="A4" s="10" t="s">
        <v>8</v>
      </c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2"/>
    </row>
    <row r="5" ht="21.0" customHeight="1">
      <c r="A5" s="11" t="s">
        <v>16</v>
      </c>
      <c r="I5" s="2"/>
    </row>
    <row r="6" ht="18.75" customHeight="1">
      <c r="A6" s="12" t="s">
        <v>17</v>
      </c>
      <c r="B6" s="12" t="s">
        <v>18</v>
      </c>
      <c r="C6" s="13" t="s">
        <v>19</v>
      </c>
      <c r="D6" s="13" t="s">
        <v>20</v>
      </c>
      <c r="E6" s="14">
        <v>1.0</v>
      </c>
      <c r="F6" s="15">
        <v>2150.0</v>
      </c>
      <c r="G6" s="16">
        <f t="shared" ref="G6:G66" si="1">E6*F6</f>
        <v>2150</v>
      </c>
      <c r="H6" s="17" t="s">
        <v>21</v>
      </c>
      <c r="I6" s="2"/>
    </row>
    <row r="7" ht="18.75" customHeight="1">
      <c r="A7" s="18" t="s">
        <v>22</v>
      </c>
      <c r="B7" s="19" t="s">
        <v>23</v>
      </c>
      <c r="C7" s="19" t="s">
        <v>24</v>
      </c>
      <c r="D7" s="19" t="s">
        <v>25</v>
      </c>
      <c r="E7" s="20">
        <v>1.0</v>
      </c>
      <c r="F7" s="21">
        <v>35.0</v>
      </c>
      <c r="G7" s="22">
        <f t="shared" si="1"/>
        <v>35</v>
      </c>
      <c r="H7" s="23" t="s">
        <v>26</v>
      </c>
      <c r="I7" s="2"/>
    </row>
    <row r="8" ht="18.75" customHeight="1">
      <c r="A8" s="24" t="s">
        <v>27</v>
      </c>
      <c r="B8" s="25" t="s">
        <v>28</v>
      </c>
      <c r="C8" s="25" t="s">
        <v>29</v>
      </c>
      <c r="D8" s="25" t="s">
        <v>30</v>
      </c>
      <c r="E8" s="26">
        <v>1.0</v>
      </c>
      <c r="F8" s="27">
        <v>18.0</v>
      </c>
      <c r="G8" s="28">
        <f t="shared" si="1"/>
        <v>18</v>
      </c>
      <c r="H8" s="29" t="s">
        <v>31</v>
      </c>
      <c r="I8" s="2"/>
    </row>
    <row r="9" ht="18.75" customHeight="1">
      <c r="A9" s="30" t="s">
        <v>32</v>
      </c>
      <c r="B9" s="31" t="s">
        <v>33</v>
      </c>
      <c r="C9" s="31" t="s">
        <v>34</v>
      </c>
      <c r="D9" s="32" t="s">
        <v>35</v>
      </c>
      <c r="E9" s="33">
        <v>2.0</v>
      </c>
      <c r="F9" s="34">
        <v>1.5</v>
      </c>
      <c r="G9" s="35">
        <f t="shared" si="1"/>
        <v>3</v>
      </c>
      <c r="H9" s="36" t="s">
        <v>36</v>
      </c>
      <c r="I9" s="2"/>
    </row>
    <row r="10" ht="18.75" customHeight="1">
      <c r="A10" s="24" t="s">
        <v>37</v>
      </c>
      <c r="B10" s="25" t="s">
        <v>38</v>
      </c>
      <c r="C10" s="25" t="s">
        <v>39</v>
      </c>
      <c r="D10" s="25">
        <v>1812.0</v>
      </c>
      <c r="E10" s="26">
        <v>1.0</v>
      </c>
      <c r="F10" s="27">
        <v>16.0</v>
      </c>
      <c r="G10" s="28">
        <f t="shared" si="1"/>
        <v>16</v>
      </c>
      <c r="H10" s="29" t="s">
        <v>40</v>
      </c>
      <c r="I10" s="2"/>
    </row>
    <row r="11" ht="18.75" customHeight="1">
      <c r="A11" s="30" t="s">
        <v>41</v>
      </c>
      <c r="B11" s="31" t="s">
        <v>42</v>
      </c>
      <c r="C11" s="31" t="s">
        <v>43</v>
      </c>
      <c r="D11" s="31" t="s">
        <v>44</v>
      </c>
      <c r="E11" s="33">
        <v>1.0</v>
      </c>
      <c r="F11" s="34">
        <v>6.0</v>
      </c>
      <c r="G11" s="35">
        <f t="shared" si="1"/>
        <v>6</v>
      </c>
      <c r="H11" s="36" t="s">
        <v>45</v>
      </c>
      <c r="I11" s="2"/>
    </row>
    <row r="12" ht="18.75" customHeight="1">
      <c r="A12" s="24" t="s">
        <v>46</v>
      </c>
      <c r="B12" s="25" t="s">
        <v>47</v>
      </c>
      <c r="C12" s="25" t="s">
        <v>48</v>
      </c>
      <c r="D12" s="25" t="s">
        <v>49</v>
      </c>
      <c r="E12" s="26">
        <v>1.0</v>
      </c>
      <c r="F12" s="27">
        <v>12.0</v>
      </c>
      <c r="G12" s="28">
        <f t="shared" si="1"/>
        <v>12</v>
      </c>
      <c r="H12" s="29" t="s">
        <v>40</v>
      </c>
      <c r="I12" s="2"/>
    </row>
    <row r="13" ht="18.75" customHeight="1">
      <c r="A13" s="30" t="s">
        <v>50</v>
      </c>
      <c r="B13" s="31" t="s">
        <v>51</v>
      </c>
      <c r="C13" s="31" t="s">
        <v>52</v>
      </c>
      <c r="D13" s="31" t="s">
        <v>53</v>
      </c>
      <c r="E13" s="33">
        <v>1.0</v>
      </c>
      <c r="F13" s="34">
        <v>24.0</v>
      </c>
      <c r="G13" s="35">
        <f t="shared" si="1"/>
        <v>24</v>
      </c>
      <c r="H13" s="36" t="s">
        <v>54</v>
      </c>
      <c r="I13" s="2"/>
    </row>
    <row r="14" ht="18.75" customHeight="1">
      <c r="A14" s="24" t="s">
        <v>55</v>
      </c>
      <c r="B14" s="25" t="s">
        <v>56</v>
      </c>
      <c r="C14" s="25" t="s">
        <v>57</v>
      </c>
      <c r="D14" s="37" t="s">
        <v>35</v>
      </c>
      <c r="E14" s="26">
        <v>3.0</v>
      </c>
      <c r="F14" s="27">
        <v>3.5</v>
      </c>
      <c r="G14" s="28">
        <f t="shared" si="1"/>
        <v>10.5</v>
      </c>
      <c r="H14" s="29" t="s">
        <v>36</v>
      </c>
      <c r="I14" s="2"/>
    </row>
    <row r="15" ht="18.75" customHeight="1">
      <c r="A15" s="38" t="s">
        <v>58</v>
      </c>
      <c r="B15" s="39" t="s">
        <v>59</v>
      </c>
      <c r="C15" s="39" t="s">
        <v>60</v>
      </c>
      <c r="D15" s="40" t="s">
        <v>35</v>
      </c>
      <c r="E15" s="41">
        <v>3.0</v>
      </c>
      <c r="F15" s="42">
        <v>1.5</v>
      </c>
      <c r="G15" s="43">
        <f t="shared" si="1"/>
        <v>4.5</v>
      </c>
      <c r="H15" s="44" t="s">
        <v>36</v>
      </c>
      <c r="I15" s="2"/>
    </row>
    <row r="16" ht="18.75" customHeight="1">
      <c r="A16" s="45" t="s">
        <v>61</v>
      </c>
      <c r="B16" s="46" t="s">
        <v>62</v>
      </c>
      <c r="C16" s="46" t="s">
        <v>63</v>
      </c>
      <c r="D16" s="46">
        <v>1206.0</v>
      </c>
      <c r="E16" s="47">
        <v>1.0</v>
      </c>
      <c r="F16" s="48">
        <v>9.0</v>
      </c>
      <c r="G16" s="49">
        <f t="shared" si="1"/>
        <v>9</v>
      </c>
      <c r="H16" s="50" t="s">
        <v>40</v>
      </c>
      <c r="I16" s="2"/>
    </row>
    <row r="17" ht="18.75" customHeight="1">
      <c r="A17" s="51" t="s">
        <v>64</v>
      </c>
      <c r="B17" s="52" t="s">
        <v>65</v>
      </c>
      <c r="C17" s="52" t="s">
        <v>66</v>
      </c>
      <c r="D17" s="52" t="s">
        <v>67</v>
      </c>
      <c r="E17" s="53">
        <v>1.0</v>
      </c>
      <c r="F17" s="54">
        <v>14.0</v>
      </c>
      <c r="G17" s="55">
        <f t="shared" si="1"/>
        <v>14</v>
      </c>
      <c r="H17" s="56" t="s">
        <v>68</v>
      </c>
      <c r="I17" s="2"/>
    </row>
    <row r="18" ht="22.5" customHeight="1">
      <c r="A18" s="57" t="s">
        <v>69</v>
      </c>
      <c r="B18" s="58" t="s">
        <v>70</v>
      </c>
      <c r="C18" s="58" t="s">
        <v>71</v>
      </c>
      <c r="D18" s="58" t="s">
        <v>72</v>
      </c>
      <c r="E18" s="59">
        <v>1.0</v>
      </c>
      <c r="F18" s="28">
        <v>5.0</v>
      </c>
      <c r="G18" s="28">
        <f t="shared" si="1"/>
        <v>5</v>
      </c>
      <c r="H18" s="60" t="s">
        <v>36</v>
      </c>
      <c r="I18" s="2"/>
    </row>
    <row r="19">
      <c r="A19" s="61" t="s">
        <v>73</v>
      </c>
      <c r="B19" s="62" t="s">
        <v>74</v>
      </c>
      <c r="C19" s="62" t="s">
        <v>75</v>
      </c>
      <c r="D19" s="62" t="s">
        <v>76</v>
      </c>
      <c r="E19" s="63">
        <v>1.0</v>
      </c>
      <c r="F19" s="35">
        <v>8.0</v>
      </c>
      <c r="G19" s="35">
        <f t="shared" si="1"/>
        <v>8</v>
      </c>
      <c r="H19" s="64" t="s">
        <v>77</v>
      </c>
      <c r="I19" s="2"/>
    </row>
    <row r="20">
      <c r="A20" s="65" t="s">
        <v>78</v>
      </c>
      <c r="B20" s="66" t="s">
        <v>79</v>
      </c>
      <c r="C20" s="66" t="s">
        <v>80</v>
      </c>
      <c r="D20" s="66" t="s">
        <v>81</v>
      </c>
      <c r="E20" s="67">
        <v>1.0</v>
      </c>
      <c r="F20" s="68">
        <v>79.0</v>
      </c>
      <c r="G20" s="69">
        <f t="shared" si="1"/>
        <v>79</v>
      </c>
      <c r="H20" s="70" t="s">
        <v>82</v>
      </c>
      <c r="I20" s="2"/>
    </row>
    <row r="21">
      <c r="A21" s="57" t="s">
        <v>83</v>
      </c>
      <c r="B21" s="58" t="s">
        <v>84</v>
      </c>
      <c r="C21" s="58" t="s">
        <v>85</v>
      </c>
      <c r="D21" s="58" t="s">
        <v>86</v>
      </c>
      <c r="E21" s="59">
        <v>1.0</v>
      </c>
      <c r="F21" s="28">
        <v>125.0</v>
      </c>
      <c r="G21" s="28">
        <f t="shared" si="1"/>
        <v>125</v>
      </c>
      <c r="H21" s="60" t="s">
        <v>87</v>
      </c>
      <c r="I21" s="2"/>
    </row>
    <row r="22">
      <c r="A22" s="61" t="s">
        <v>88</v>
      </c>
      <c r="B22" s="62" t="s">
        <v>89</v>
      </c>
      <c r="C22" s="62" t="s">
        <v>90</v>
      </c>
      <c r="D22" s="40" t="s">
        <v>35</v>
      </c>
      <c r="E22" s="63">
        <v>1.0</v>
      </c>
      <c r="F22" s="35">
        <v>1.5</v>
      </c>
      <c r="G22" s="35">
        <f t="shared" si="1"/>
        <v>1.5</v>
      </c>
      <c r="H22" s="64" t="s">
        <v>91</v>
      </c>
      <c r="I22" s="2"/>
    </row>
    <row r="23">
      <c r="A23" s="57" t="s">
        <v>92</v>
      </c>
      <c r="B23" s="58" t="s">
        <v>93</v>
      </c>
      <c r="C23" s="58" t="s">
        <v>94</v>
      </c>
      <c r="D23" s="37" t="s">
        <v>35</v>
      </c>
      <c r="E23" s="59">
        <v>2.0</v>
      </c>
      <c r="F23" s="28">
        <v>6.0</v>
      </c>
      <c r="G23" s="28">
        <f t="shared" si="1"/>
        <v>12</v>
      </c>
      <c r="H23" s="60" t="s">
        <v>95</v>
      </c>
      <c r="I23" s="2"/>
    </row>
    <row r="24">
      <c r="A24" s="61" t="s">
        <v>96</v>
      </c>
      <c r="B24" s="62" t="s">
        <v>97</v>
      </c>
      <c r="C24" s="62" t="s">
        <v>98</v>
      </c>
      <c r="D24" s="40" t="s">
        <v>35</v>
      </c>
      <c r="E24" s="63">
        <v>2.0</v>
      </c>
      <c r="F24" s="35">
        <v>2.0</v>
      </c>
      <c r="G24" s="35">
        <f t="shared" si="1"/>
        <v>4</v>
      </c>
      <c r="H24" s="64" t="s">
        <v>91</v>
      </c>
      <c r="I24" s="2"/>
    </row>
    <row r="25">
      <c r="A25" s="57" t="s">
        <v>99</v>
      </c>
      <c r="B25" s="58" t="s">
        <v>100</v>
      </c>
      <c r="C25" s="58" t="s">
        <v>57</v>
      </c>
      <c r="D25" s="37" t="s">
        <v>35</v>
      </c>
      <c r="E25" s="59">
        <v>1.0</v>
      </c>
      <c r="F25" s="28">
        <v>3.5</v>
      </c>
      <c r="G25" s="28">
        <f t="shared" si="1"/>
        <v>3.5</v>
      </c>
      <c r="H25" s="60" t="s">
        <v>91</v>
      </c>
      <c r="I25" s="2"/>
    </row>
    <row r="26">
      <c r="A26" s="61" t="s">
        <v>101</v>
      </c>
      <c r="B26" s="62" t="s">
        <v>102</v>
      </c>
      <c r="C26" s="62" t="s">
        <v>103</v>
      </c>
      <c r="D26" s="62" t="s">
        <v>104</v>
      </c>
      <c r="E26" s="63">
        <v>1.0</v>
      </c>
      <c r="F26" s="35">
        <v>7.0</v>
      </c>
      <c r="G26" s="35">
        <f t="shared" si="1"/>
        <v>7</v>
      </c>
      <c r="H26" s="64" t="s">
        <v>105</v>
      </c>
      <c r="I26" s="2"/>
    </row>
    <row r="27">
      <c r="A27" s="24" t="s">
        <v>106</v>
      </c>
      <c r="B27" s="25" t="s">
        <v>107</v>
      </c>
      <c r="C27" s="25" t="s">
        <v>108</v>
      </c>
      <c r="D27" s="25" t="s">
        <v>104</v>
      </c>
      <c r="E27" s="26">
        <v>1.0</v>
      </c>
      <c r="F27" s="27">
        <v>7.0</v>
      </c>
      <c r="G27" s="28">
        <f t="shared" si="1"/>
        <v>7</v>
      </c>
      <c r="H27" s="29" t="s">
        <v>105</v>
      </c>
      <c r="I27" s="2"/>
    </row>
    <row r="28">
      <c r="A28" s="24" t="s">
        <v>109</v>
      </c>
      <c r="B28" s="25" t="s">
        <v>110</v>
      </c>
      <c r="C28" s="25" t="s">
        <v>111</v>
      </c>
      <c r="D28" s="25" t="s">
        <v>112</v>
      </c>
      <c r="E28" s="26">
        <v>1.0</v>
      </c>
      <c r="F28" s="27">
        <v>27.0</v>
      </c>
      <c r="G28" s="28">
        <f t="shared" si="1"/>
        <v>27</v>
      </c>
      <c r="H28" s="29" t="s">
        <v>82</v>
      </c>
      <c r="I28" s="2"/>
    </row>
    <row r="29">
      <c r="A29" s="30" t="s">
        <v>113</v>
      </c>
      <c r="B29" s="31" t="s">
        <v>114</v>
      </c>
      <c r="C29" s="31" t="s">
        <v>115</v>
      </c>
      <c r="D29" s="31" t="s">
        <v>104</v>
      </c>
      <c r="E29" s="33">
        <v>1.0</v>
      </c>
      <c r="F29" s="34">
        <v>9.0</v>
      </c>
      <c r="G29" s="35">
        <f t="shared" si="1"/>
        <v>9</v>
      </c>
      <c r="H29" s="36" t="s">
        <v>105</v>
      </c>
      <c r="I29" s="2"/>
    </row>
    <row r="30">
      <c r="A30" s="24" t="s">
        <v>116</v>
      </c>
      <c r="B30" s="25" t="s">
        <v>117</v>
      </c>
      <c r="C30" s="25" t="s">
        <v>118</v>
      </c>
      <c r="D30" s="25" t="s">
        <v>119</v>
      </c>
      <c r="E30" s="26">
        <v>1.0</v>
      </c>
      <c r="F30" s="27">
        <v>35.0</v>
      </c>
      <c r="G30" s="28">
        <f t="shared" si="1"/>
        <v>35</v>
      </c>
      <c r="H30" s="29" t="s">
        <v>120</v>
      </c>
      <c r="I30" s="2"/>
    </row>
    <row r="31">
      <c r="A31" s="30" t="s">
        <v>121</v>
      </c>
      <c r="B31" s="31" t="s">
        <v>122</v>
      </c>
      <c r="C31" s="31" t="s">
        <v>123</v>
      </c>
      <c r="D31" s="31">
        <v>603.0</v>
      </c>
      <c r="E31" s="33">
        <v>1.0</v>
      </c>
      <c r="F31" s="34">
        <v>2.0</v>
      </c>
      <c r="G31" s="35">
        <f t="shared" si="1"/>
        <v>2</v>
      </c>
      <c r="H31" s="36" t="s">
        <v>91</v>
      </c>
      <c r="I31" s="2"/>
    </row>
    <row r="32">
      <c r="A32" s="24" t="s">
        <v>124</v>
      </c>
      <c r="B32" s="25" t="s">
        <v>125</v>
      </c>
      <c r="C32" s="25" t="s">
        <v>126</v>
      </c>
      <c r="D32" s="25">
        <v>603.0</v>
      </c>
      <c r="E32" s="26">
        <v>1.0</v>
      </c>
      <c r="F32" s="27">
        <v>1.5</v>
      </c>
      <c r="G32" s="28">
        <f t="shared" si="1"/>
        <v>1.5</v>
      </c>
      <c r="H32" s="29" t="s">
        <v>91</v>
      </c>
      <c r="I32" s="2"/>
    </row>
    <row r="33">
      <c r="A33" s="30" t="s">
        <v>127</v>
      </c>
      <c r="B33" s="31" t="s">
        <v>128</v>
      </c>
      <c r="C33" s="31" t="s">
        <v>129</v>
      </c>
      <c r="D33" s="31" t="s">
        <v>130</v>
      </c>
      <c r="E33" s="33">
        <v>8.0</v>
      </c>
      <c r="F33" s="34">
        <v>0.0</v>
      </c>
      <c r="G33" s="35">
        <f t="shared" si="1"/>
        <v>0</v>
      </c>
      <c r="H33" s="36" t="s">
        <v>131</v>
      </c>
      <c r="I33" s="2"/>
    </row>
    <row r="34">
      <c r="A34" s="24" t="s">
        <v>132</v>
      </c>
      <c r="B34" s="25" t="s">
        <v>133</v>
      </c>
      <c r="C34" s="25" t="s">
        <v>115</v>
      </c>
      <c r="D34" s="25" t="s">
        <v>104</v>
      </c>
      <c r="E34" s="26">
        <v>1.0</v>
      </c>
      <c r="F34" s="27">
        <v>10.0</v>
      </c>
      <c r="G34" s="28">
        <f t="shared" si="1"/>
        <v>10</v>
      </c>
      <c r="H34" s="29" t="s">
        <v>105</v>
      </c>
      <c r="I34" s="2"/>
    </row>
    <row r="35">
      <c r="A35" s="30" t="s">
        <v>134</v>
      </c>
      <c r="B35" s="31" t="s">
        <v>135</v>
      </c>
      <c r="C35" s="31" t="s">
        <v>115</v>
      </c>
      <c r="D35" s="31" t="s">
        <v>104</v>
      </c>
      <c r="E35" s="33">
        <v>1.0</v>
      </c>
      <c r="F35" s="34">
        <v>10.0</v>
      </c>
      <c r="G35" s="35">
        <f t="shared" si="1"/>
        <v>10</v>
      </c>
      <c r="H35" s="36" t="s">
        <v>105</v>
      </c>
      <c r="I35" s="2"/>
    </row>
    <row r="36">
      <c r="A36" s="24" t="s">
        <v>136</v>
      </c>
      <c r="B36" s="25" t="s">
        <v>137</v>
      </c>
      <c r="C36" s="25" t="s">
        <v>138</v>
      </c>
      <c r="D36" s="25" t="s">
        <v>139</v>
      </c>
      <c r="E36" s="26">
        <v>2.0</v>
      </c>
      <c r="F36" s="27">
        <v>90.0</v>
      </c>
      <c r="G36" s="28">
        <f t="shared" si="1"/>
        <v>180</v>
      </c>
      <c r="H36" s="29" t="s">
        <v>140</v>
      </c>
      <c r="I36" s="2"/>
    </row>
    <row r="37">
      <c r="A37" s="30" t="s">
        <v>141</v>
      </c>
      <c r="B37" s="31" t="s">
        <v>142</v>
      </c>
      <c r="C37" s="31" t="s">
        <v>143</v>
      </c>
      <c r="D37" s="31">
        <v>603.0</v>
      </c>
      <c r="E37" s="33">
        <v>1.0</v>
      </c>
      <c r="F37" s="34">
        <v>1.5</v>
      </c>
      <c r="G37" s="35">
        <f t="shared" si="1"/>
        <v>1.5</v>
      </c>
      <c r="H37" s="36" t="s">
        <v>91</v>
      </c>
      <c r="I37" s="2"/>
    </row>
    <row r="38">
      <c r="A38" s="24" t="s">
        <v>144</v>
      </c>
      <c r="B38" s="25" t="s">
        <v>145</v>
      </c>
      <c r="C38" s="25" t="s">
        <v>143</v>
      </c>
      <c r="D38" s="25">
        <v>603.0</v>
      </c>
      <c r="E38" s="26">
        <v>1.0</v>
      </c>
      <c r="F38" s="27">
        <v>1.5</v>
      </c>
      <c r="G38" s="28">
        <f t="shared" si="1"/>
        <v>1.5</v>
      </c>
      <c r="H38" s="29" t="s">
        <v>91</v>
      </c>
      <c r="I38" s="2"/>
    </row>
    <row r="39">
      <c r="A39" s="30" t="s">
        <v>146</v>
      </c>
      <c r="B39" s="31" t="s">
        <v>147</v>
      </c>
      <c r="C39" s="31" t="s">
        <v>60</v>
      </c>
      <c r="D39" s="31">
        <v>603.0</v>
      </c>
      <c r="E39" s="33">
        <v>2.0</v>
      </c>
      <c r="F39" s="34">
        <v>1.5</v>
      </c>
      <c r="G39" s="35">
        <f t="shared" si="1"/>
        <v>3</v>
      </c>
      <c r="H39" s="36" t="s">
        <v>91</v>
      </c>
      <c r="I39" s="2"/>
    </row>
    <row r="40">
      <c r="A40" s="24" t="s">
        <v>17</v>
      </c>
      <c r="B40" s="25" t="s">
        <v>148</v>
      </c>
      <c r="C40" s="25" t="s">
        <v>149</v>
      </c>
      <c r="D40" s="25" t="s">
        <v>150</v>
      </c>
      <c r="E40" s="26">
        <v>1.0</v>
      </c>
      <c r="F40" s="27">
        <v>399.0</v>
      </c>
      <c r="G40" s="28">
        <f t="shared" si="1"/>
        <v>399</v>
      </c>
      <c r="H40" s="29" t="s">
        <v>151</v>
      </c>
      <c r="I40" s="2"/>
    </row>
    <row r="41">
      <c r="A41" s="30" t="s">
        <v>152</v>
      </c>
      <c r="B41" s="31" t="s">
        <v>153</v>
      </c>
      <c r="C41" s="31" t="s">
        <v>154</v>
      </c>
      <c r="D41" s="31" t="s">
        <v>155</v>
      </c>
      <c r="E41" s="33">
        <v>1.0</v>
      </c>
      <c r="F41" s="34">
        <v>6.5</v>
      </c>
      <c r="G41" s="35">
        <f t="shared" si="1"/>
        <v>6.5</v>
      </c>
      <c r="H41" s="36" t="s">
        <v>156</v>
      </c>
      <c r="I41" s="2"/>
    </row>
    <row r="42">
      <c r="A42" s="24" t="s">
        <v>157</v>
      </c>
      <c r="B42" s="25" t="s">
        <v>158</v>
      </c>
      <c r="C42" s="25" t="s">
        <v>159</v>
      </c>
      <c r="D42" s="25" t="s">
        <v>160</v>
      </c>
      <c r="E42" s="26">
        <v>1.0</v>
      </c>
      <c r="F42" s="27">
        <v>6.0</v>
      </c>
      <c r="G42" s="28">
        <f t="shared" si="1"/>
        <v>6</v>
      </c>
      <c r="H42" s="29" t="s">
        <v>161</v>
      </c>
      <c r="I42" s="2"/>
    </row>
    <row r="43">
      <c r="A43" s="30" t="s">
        <v>55</v>
      </c>
      <c r="B43" s="31" t="s">
        <v>162</v>
      </c>
      <c r="C43" s="31" t="s">
        <v>57</v>
      </c>
      <c r="D43" s="31">
        <v>603.0</v>
      </c>
      <c r="E43" s="33">
        <v>3.0</v>
      </c>
      <c r="F43" s="34">
        <v>3.5</v>
      </c>
      <c r="G43" s="35">
        <f t="shared" si="1"/>
        <v>10.5</v>
      </c>
      <c r="H43" s="36" t="s">
        <v>36</v>
      </c>
      <c r="I43" s="2"/>
    </row>
    <row r="44">
      <c r="A44" s="24" t="s">
        <v>163</v>
      </c>
      <c r="B44" s="25" t="s">
        <v>59</v>
      </c>
      <c r="C44" s="25" t="s">
        <v>60</v>
      </c>
      <c r="D44" s="25">
        <v>603.0</v>
      </c>
      <c r="E44" s="26">
        <v>5.0</v>
      </c>
      <c r="F44" s="27">
        <v>1.5</v>
      </c>
      <c r="G44" s="28">
        <f t="shared" si="1"/>
        <v>7.5</v>
      </c>
      <c r="H44" s="29" t="s">
        <v>36</v>
      </c>
      <c r="I44" s="2"/>
    </row>
    <row r="45">
      <c r="A45" s="30" t="s">
        <v>164</v>
      </c>
      <c r="B45" s="31" t="s">
        <v>165</v>
      </c>
      <c r="C45" s="31" t="s">
        <v>166</v>
      </c>
      <c r="D45" s="31" t="s">
        <v>167</v>
      </c>
      <c r="E45" s="33">
        <v>1.0</v>
      </c>
      <c r="F45" s="34">
        <v>22.0</v>
      </c>
      <c r="G45" s="35">
        <f t="shared" si="1"/>
        <v>22</v>
      </c>
      <c r="H45" s="36" t="s">
        <v>168</v>
      </c>
      <c r="I45" s="2"/>
    </row>
    <row r="46">
      <c r="A46" s="24" t="s">
        <v>169</v>
      </c>
      <c r="B46" s="25" t="s">
        <v>170</v>
      </c>
      <c r="C46" s="25" t="s">
        <v>171</v>
      </c>
      <c r="D46" s="25" t="s">
        <v>172</v>
      </c>
      <c r="E46" s="26">
        <v>1.0</v>
      </c>
      <c r="F46" s="27">
        <v>260.0</v>
      </c>
      <c r="G46" s="28">
        <f t="shared" si="1"/>
        <v>260</v>
      </c>
      <c r="H46" s="29" t="s">
        <v>173</v>
      </c>
      <c r="I46" s="2"/>
    </row>
    <row r="47">
      <c r="A47" s="30" t="s">
        <v>174</v>
      </c>
      <c r="B47" s="31" t="s">
        <v>175</v>
      </c>
      <c r="C47" s="31" t="s">
        <v>176</v>
      </c>
      <c r="D47" s="31">
        <v>603.0</v>
      </c>
      <c r="E47" s="33">
        <v>2.0</v>
      </c>
      <c r="F47" s="34">
        <v>1.5</v>
      </c>
      <c r="G47" s="35">
        <f t="shared" si="1"/>
        <v>3</v>
      </c>
      <c r="H47" s="36" t="s">
        <v>91</v>
      </c>
      <c r="I47" s="2"/>
    </row>
    <row r="48">
      <c r="A48" s="24" t="s">
        <v>177</v>
      </c>
      <c r="B48" s="25" t="s">
        <v>178</v>
      </c>
      <c r="C48" s="25" t="s">
        <v>179</v>
      </c>
      <c r="D48" s="25" t="s">
        <v>167</v>
      </c>
      <c r="E48" s="26">
        <v>1.0</v>
      </c>
      <c r="F48" s="27">
        <v>15.0</v>
      </c>
      <c r="G48" s="28">
        <f t="shared" si="1"/>
        <v>15</v>
      </c>
      <c r="H48" s="29" t="s">
        <v>140</v>
      </c>
      <c r="I48" s="2"/>
    </row>
    <row r="49">
      <c r="A49" s="30" t="s">
        <v>180</v>
      </c>
      <c r="B49" s="31" t="s">
        <v>181</v>
      </c>
      <c r="C49" s="31" t="s">
        <v>182</v>
      </c>
      <c r="D49" s="31" t="s">
        <v>183</v>
      </c>
      <c r="E49" s="33">
        <v>1.0</v>
      </c>
      <c r="F49" s="34">
        <v>380.0</v>
      </c>
      <c r="G49" s="35">
        <f t="shared" si="1"/>
        <v>380</v>
      </c>
      <c r="H49" s="36" t="s">
        <v>184</v>
      </c>
      <c r="I49" s="2"/>
    </row>
    <row r="50">
      <c r="A50" s="24" t="s">
        <v>185</v>
      </c>
      <c r="B50" s="25" t="s">
        <v>186</v>
      </c>
      <c r="C50" s="25" t="s">
        <v>187</v>
      </c>
      <c r="D50" s="25">
        <v>805.0</v>
      </c>
      <c r="E50" s="26">
        <v>1.0</v>
      </c>
      <c r="F50" s="27">
        <v>2.0</v>
      </c>
      <c r="G50" s="28">
        <f t="shared" si="1"/>
        <v>2</v>
      </c>
      <c r="H50" s="29" t="s">
        <v>91</v>
      </c>
      <c r="I50" s="2"/>
    </row>
    <row r="51">
      <c r="A51" s="30" t="s">
        <v>188</v>
      </c>
      <c r="B51" s="31" t="s">
        <v>189</v>
      </c>
      <c r="C51" s="31" t="s">
        <v>108</v>
      </c>
      <c r="D51" s="31" t="s">
        <v>104</v>
      </c>
      <c r="E51" s="33">
        <v>4.0</v>
      </c>
      <c r="F51" s="34">
        <v>7.5</v>
      </c>
      <c r="G51" s="35">
        <f t="shared" si="1"/>
        <v>30</v>
      </c>
      <c r="H51" s="36" t="s">
        <v>190</v>
      </c>
      <c r="I51" s="2"/>
    </row>
    <row r="52">
      <c r="A52" s="24" t="s">
        <v>191</v>
      </c>
      <c r="B52" s="25" t="s">
        <v>192</v>
      </c>
      <c r="C52" s="25" t="s">
        <v>193</v>
      </c>
      <c r="D52" s="25" t="s">
        <v>194</v>
      </c>
      <c r="E52" s="26">
        <v>4.0</v>
      </c>
      <c r="F52" s="27">
        <v>0.0</v>
      </c>
      <c r="G52" s="28">
        <f t="shared" si="1"/>
        <v>0</v>
      </c>
      <c r="H52" s="29" t="s">
        <v>131</v>
      </c>
      <c r="I52" s="2"/>
    </row>
    <row r="53">
      <c r="A53" s="30" t="s">
        <v>195</v>
      </c>
      <c r="B53" s="31" t="s">
        <v>196</v>
      </c>
      <c r="C53" s="31" t="s">
        <v>197</v>
      </c>
      <c r="D53" s="31" t="s">
        <v>198</v>
      </c>
      <c r="E53" s="33">
        <v>4.0</v>
      </c>
      <c r="F53" s="34">
        <v>18.0</v>
      </c>
      <c r="G53" s="35">
        <f t="shared" si="1"/>
        <v>72</v>
      </c>
      <c r="H53" s="36" t="s">
        <v>199</v>
      </c>
      <c r="I53" s="2"/>
    </row>
    <row r="54">
      <c r="A54" s="24" t="s">
        <v>200</v>
      </c>
      <c r="B54" s="71" t="s">
        <v>201</v>
      </c>
      <c r="C54" s="71" t="s">
        <v>143</v>
      </c>
      <c r="D54" s="71">
        <v>603.0</v>
      </c>
      <c r="E54" s="26">
        <v>4.0</v>
      </c>
      <c r="F54" s="27">
        <v>1.5</v>
      </c>
      <c r="G54" s="28">
        <f t="shared" si="1"/>
        <v>6</v>
      </c>
      <c r="H54" s="29" t="s">
        <v>91</v>
      </c>
      <c r="I54" s="2"/>
    </row>
    <row r="55">
      <c r="A55" s="30" t="s">
        <v>73</v>
      </c>
      <c r="B55" s="39" t="s">
        <v>202</v>
      </c>
      <c r="C55" s="39" t="s">
        <v>203</v>
      </c>
      <c r="D55" s="39" t="s">
        <v>204</v>
      </c>
      <c r="E55" s="33">
        <v>1.0</v>
      </c>
      <c r="F55" s="72">
        <v>2.0</v>
      </c>
      <c r="G55" s="73">
        <f t="shared" si="1"/>
        <v>2</v>
      </c>
      <c r="H55" s="36" t="s">
        <v>156</v>
      </c>
      <c r="I55" s="2"/>
    </row>
    <row r="56">
      <c r="A56" s="24" t="s">
        <v>205</v>
      </c>
      <c r="B56" s="71" t="s">
        <v>206</v>
      </c>
      <c r="C56" s="71" t="s">
        <v>207</v>
      </c>
      <c r="D56" s="71" t="s">
        <v>208</v>
      </c>
      <c r="E56" s="26">
        <v>2.0</v>
      </c>
      <c r="F56" s="74">
        <v>120.0</v>
      </c>
      <c r="G56" s="75">
        <f t="shared" si="1"/>
        <v>240</v>
      </c>
      <c r="H56" s="29" t="s">
        <v>173</v>
      </c>
      <c r="I56" s="2"/>
    </row>
    <row r="57">
      <c r="A57" s="30" t="s">
        <v>113</v>
      </c>
      <c r="B57" s="39" t="s">
        <v>209</v>
      </c>
      <c r="C57" s="39" t="s">
        <v>115</v>
      </c>
      <c r="D57" s="39" t="s">
        <v>104</v>
      </c>
      <c r="E57" s="33">
        <v>1.0</v>
      </c>
      <c r="F57" s="72">
        <v>9.0</v>
      </c>
      <c r="G57" s="73">
        <f t="shared" si="1"/>
        <v>9</v>
      </c>
      <c r="H57" s="36" t="s">
        <v>140</v>
      </c>
      <c r="I57" s="2"/>
    </row>
    <row r="58">
      <c r="A58" s="24" t="s">
        <v>210</v>
      </c>
      <c r="B58" s="71" t="s">
        <v>211</v>
      </c>
      <c r="C58" s="71" t="s">
        <v>212</v>
      </c>
      <c r="D58" s="71" t="s">
        <v>213</v>
      </c>
      <c r="E58" s="26">
        <v>8.0</v>
      </c>
      <c r="F58" s="74">
        <v>0.0</v>
      </c>
      <c r="G58" s="75">
        <f t="shared" si="1"/>
        <v>0</v>
      </c>
      <c r="H58" s="29" t="s">
        <v>214</v>
      </c>
      <c r="I58" s="2"/>
    </row>
    <row r="59">
      <c r="A59" s="30" t="s">
        <v>215</v>
      </c>
      <c r="B59" s="39" t="s">
        <v>216</v>
      </c>
      <c r="C59" s="39" t="s">
        <v>143</v>
      </c>
      <c r="D59" s="39">
        <v>603.0</v>
      </c>
      <c r="E59" s="33">
        <v>1.0</v>
      </c>
      <c r="F59" s="72">
        <v>1.5</v>
      </c>
      <c r="G59" s="73">
        <f t="shared" si="1"/>
        <v>1.5</v>
      </c>
      <c r="H59" s="36" t="s">
        <v>91</v>
      </c>
      <c r="I59" s="2"/>
    </row>
    <row r="60">
      <c r="A60" s="24" t="s">
        <v>217</v>
      </c>
      <c r="B60" s="71" t="s">
        <v>218</v>
      </c>
      <c r="C60" s="71" t="s">
        <v>219</v>
      </c>
      <c r="D60" s="71">
        <v>603.0</v>
      </c>
      <c r="E60" s="26">
        <v>1.0</v>
      </c>
      <c r="F60" s="74">
        <v>2.5</v>
      </c>
      <c r="G60" s="75">
        <f t="shared" si="1"/>
        <v>2.5</v>
      </c>
      <c r="H60" s="29" t="s">
        <v>91</v>
      </c>
      <c r="I60" s="2"/>
    </row>
    <row r="61">
      <c r="A61" s="30" t="s">
        <v>220</v>
      </c>
      <c r="B61" s="39" t="s">
        <v>221</v>
      </c>
      <c r="C61" s="39" t="s">
        <v>143</v>
      </c>
      <c r="D61" s="39">
        <v>603.0</v>
      </c>
      <c r="E61" s="33">
        <v>1.0</v>
      </c>
      <c r="F61" s="72">
        <v>1.5</v>
      </c>
      <c r="G61" s="73">
        <f t="shared" si="1"/>
        <v>1.5</v>
      </c>
      <c r="H61" s="36" t="s">
        <v>91</v>
      </c>
      <c r="I61" s="2"/>
    </row>
    <row r="62">
      <c r="A62" s="24" t="s">
        <v>121</v>
      </c>
      <c r="B62" s="71" t="s">
        <v>222</v>
      </c>
      <c r="C62" s="71" t="s">
        <v>123</v>
      </c>
      <c r="D62" s="71">
        <v>603.0</v>
      </c>
      <c r="E62" s="26">
        <v>1.0</v>
      </c>
      <c r="F62" s="74">
        <v>2.0</v>
      </c>
      <c r="G62" s="75">
        <f t="shared" si="1"/>
        <v>2</v>
      </c>
      <c r="H62" s="29" t="s">
        <v>91</v>
      </c>
      <c r="I62" s="2"/>
    </row>
    <row r="63">
      <c r="A63" s="30" t="s">
        <v>124</v>
      </c>
      <c r="B63" s="39" t="s">
        <v>125</v>
      </c>
      <c r="C63" s="39" t="s">
        <v>126</v>
      </c>
      <c r="D63" s="39">
        <v>603.0</v>
      </c>
      <c r="E63" s="33">
        <v>1.0</v>
      </c>
      <c r="F63" s="72">
        <v>1.5</v>
      </c>
      <c r="G63" s="73">
        <f t="shared" si="1"/>
        <v>1.5</v>
      </c>
      <c r="H63" s="36" t="s">
        <v>91</v>
      </c>
      <c r="I63" s="2"/>
    </row>
    <row r="64">
      <c r="A64" s="57" t="s">
        <v>223</v>
      </c>
      <c r="B64" s="58" t="s">
        <v>224</v>
      </c>
      <c r="C64" s="58" t="s">
        <v>225</v>
      </c>
      <c r="D64" s="58" t="s">
        <v>226</v>
      </c>
      <c r="E64" s="59">
        <v>2.0</v>
      </c>
      <c r="F64" s="28">
        <v>150.0</v>
      </c>
      <c r="G64" s="28">
        <f t="shared" si="1"/>
        <v>300</v>
      </c>
      <c r="H64" s="60" t="s">
        <v>227</v>
      </c>
      <c r="I64" s="2"/>
    </row>
    <row r="65">
      <c r="A65" s="61" t="s">
        <v>228</v>
      </c>
      <c r="B65" s="76" t="s">
        <v>229</v>
      </c>
      <c r="C65" s="76" t="s">
        <v>230</v>
      </c>
      <c r="D65" s="76" t="s">
        <v>231</v>
      </c>
      <c r="E65" s="63">
        <v>1.0</v>
      </c>
      <c r="F65" s="35">
        <v>680.0</v>
      </c>
      <c r="G65" s="35">
        <f t="shared" si="1"/>
        <v>680</v>
      </c>
      <c r="H65" s="64" t="s">
        <v>82</v>
      </c>
      <c r="I65" s="2"/>
    </row>
    <row r="66">
      <c r="A66" s="77" t="s">
        <v>232</v>
      </c>
      <c r="B66" s="78" t="s">
        <v>233</v>
      </c>
      <c r="C66" s="79"/>
      <c r="D66" s="79"/>
      <c r="E66" s="80">
        <v>1.0</v>
      </c>
      <c r="F66" s="81">
        <v>58.0</v>
      </c>
      <c r="G66" s="82">
        <f t="shared" si="1"/>
        <v>58</v>
      </c>
      <c r="H66" s="83"/>
      <c r="I66" s="2"/>
    </row>
    <row r="67">
      <c r="A67" s="84" t="s">
        <v>234</v>
      </c>
      <c r="B67" s="85" t="s">
        <v>235</v>
      </c>
      <c r="C67" s="86"/>
      <c r="D67" s="87"/>
      <c r="E67" s="88">
        <f>SUM(E6:E66)</f>
        <v>105</v>
      </c>
      <c r="F67" s="89"/>
      <c r="G67" s="90">
        <f>SUM(G6:G66)</f>
        <v>5352</v>
      </c>
      <c r="H67" s="89"/>
      <c r="I67" s="2"/>
    </row>
    <row r="68" ht="12.0" customHeight="1">
      <c r="A68" s="91"/>
      <c r="B68" s="91"/>
      <c r="C68" s="91"/>
      <c r="D68" s="91"/>
      <c r="E68" s="91"/>
      <c r="F68" s="91"/>
      <c r="G68" s="91"/>
      <c r="H68" s="91"/>
    </row>
    <row r="69" ht="21.0" customHeight="1">
      <c r="A69" s="92" t="s">
        <v>236</v>
      </c>
    </row>
    <row r="70" ht="18.0" customHeight="1">
      <c r="A70" s="93" t="s">
        <v>237</v>
      </c>
      <c r="B70" s="94" t="s">
        <v>238</v>
      </c>
      <c r="C70" s="94" t="s">
        <v>239</v>
      </c>
      <c r="D70" s="94" t="s">
        <v>240</v>
      </c>
      <c r="E70" s="95">
        <v>1.0</v>
      </c>
      <c r="F70" s="96">
        <v>500.0</v>
      </c>
      <c r="G70" s="97">
        <f t="shared" ref="G70:G77" si="2">E70*F70</f>
        <v>500</v>
      </c>
      <c r="H70" s="94" t="s">
        <v>241</v>
      </c>
    </row>
    <row r="71" ht="18.0" customHeight="1">
      <c r="A71" s="98" t="s">
        <v>242</v>
      </c>
      <c r="B71" s="99" t="s">
        <v>243</v>
      </c>
      <c r="C71" s="99" t="s">
        <v>244</v>
      </c>
      <c r="D71" s="99" t="s">
        <v>245</v>
      </c>
      <c r="E71" s="100">
        <v>1.0</v>
      </c>
      <c r="F71" s="101">
        <v>180.0</v>
      </c>
      <c r="G71" s="102">
        <f t="shared" si="2"/>
        <v>180</v>
      </c>
      <c r="H71" s="99" t="s">
        <v>246</v>
      </c>
    </row>
    <row r="72" ht="18.0" customHeight="1">
      <c r="A72" s="93" t="s">
        <v>247</v>
      </c>
      <c r="B72" s="94" t="s">
        <v>248</v>
      </c>
      <c r="C72" s="94" t="s">
        <v>249</v>
      </c>
      <c r="D72" s="94" t="s">
        <v>250</v>
      </c>
      <c r="E72" s="95">
        <v>4.0</v>
      </c>
      <c r="F72" s="96">
        <v>2.25</v>
      </c>
      <c r="G72" s="97">
        <f t="shared" si="2"/>
        <v>9</v>
      </c>
      <c r="H72" s="94" t="s">
        <v>26</v>
      </c>
    </row>
    <row r="73" ht="18.0" customHeight="1">
      <c r="A73" s="98" t="s">
        <v>251</v>
      </c>
      <c r="B73" s="99" t="s">
        <v>252</v>
      </c>
      <c r="C73" s="99" t="s">
        <v>253</v>
      </c>
      <c r="D73" s="99" t="s">
        <v>254</v>
      </c>
      <c r="E73" s="100">
        <v>2.0</v>
      </c>
      <c r="F73" s="101">
        <v>2.5</v>
      </c>
      <c r="G73" s="102">
        <f t="shared" si="2"/>
        <v>5</v>
      </c>
      <c r="H73" s="99" t="s">
        <v>255</v>
      </c>
    </row>
    <row r="74" ht="18.0" customHeight="1">
      <c r="A74" s="93" t="s">
        <v>256</v>
      </c>
      <c r="B74" s="94" t="s">
        <v>257</v>
      </c>
      <c r="C74" s="94" t="s">
        <v>258</v>
      </c>
      <c r="D74" s="94" t="s">
        <v>259</v>
      </c>
      <c r="E74" s="95">
        <v>15.0</v>
      </c>
      <c r="F74" s="96">
        <v>2.25</v>
      </c>
      <c r="G74" s="97">
        <f t="shared" si="2"/>
        <v>33.75</v>
      </c>
      <c r="H74" s="94" t="s">
        <v>260</v>
      </c>
    </row>
    <row r="75" ht="18.0" customHeight="1">
      <c r="A75" s="98" t="s">
        <v>261</v>
      </c>
      <c r="B75" s="99" t="s">
        <v>262</v>
      </c>
      <c r="C75" s="99" t="s">
        <v>263</v>
      </c>
      <c r="D75" s="99" t="s">
        <v>264</v>
      </c>
      <c r="E75" s="100">
        <v>6.0</v>
      </c>
      <c r="F75" s="101">
        <v>1.5</v>
      </c>
      <c r="G75" s="102">
        <f t="shared" si="2"/>
        <v>9</v>
      </c>
      <c r="H75" s="99" t="s">
        <v>265</v>
      </c>
    </row>
    <row r="76" ht="18.0" customHeight="1">
      <c r="A76" s="93" t="s">
        <v>266</v>
      </c>
      <c r="B76" s="94" t="s">
        <v>267</v>
      </c>
      <c r="C76" s="94" t="s">
        <v>268</v>
      </c>
      <c r="D76" s="94" t="s">
        <v>269</v>
      </c>
      <c r="E76" s="95">
        <v>1.0</v>
      </c>
      <c r="F76" s="96">
        <v>25.0</v>
      </c>
      <c r="G76" s="97">
        <f t="shared" si="2"/>
        <v>25</v>
      </c>
      <c r="H76" s="94" t="s">
        <v>270</v>
      </c>
    </row>
    <row r="77" ht="18.0" customHeight="1">
      <c r="A77" s="98" t="s">
        <v>271</v>
      </c>
      <c r="B77" s="99" t="s">
        <v>272</v>
      </c>
      <c r="C77" s="99" t="s">
        <v>273</v>
      </c>
      <c r="D77" s="99" t="s">
        <v>274</v>
      </c>
      <c r="E77" s="100">
        <v>6.0</v>
      </c>
      <c r="F77" s="101">
        <v>3.6</v>
      </c>
      <c r="G77" s="102">
        <f t="shared" si="2"/>
        <v>21.6</v>
      </c>
      <c r="H77" s="99" t="s">
        <v>255</v>
      </c>
    </row>
    <row r="78" ht="19.5" customHeight="1">
      <c r="A78" s="103" t="s">
        <v>234</v>
      </c>
      <c r="B78" s="104" t="s">
        <v>275</v>
      </c>
      <c r="C78" s="105"/>
      <c r="D78" s="106"/>
      <c r="E78" s="107">
        <f>SUM(E70:E77)</f>
        <v>36</v>
      </c>
      <c r="F78" s="108"/>
      <c r="G78" s="109">
        <f>SUM(G70:G77)</f>
        <v>783.35</v>
      </c>
      <c r="H78" s="108"/>
    </row>
    <row r="79" ht="12.0" customHeight="1">
      <c r="A79" s="91"/>
      <c r="B79" s="91"/>
      <c r="C79" s="91"/>
      <c r="D79" s="91"/>
      <c r="E79" s="91"/>
      <c r="F79" s="91"/>
      <c r="G79" s="91"/>
      <c r="H79" s="91"/>
    </row>
    <row r="80" ht="21.0" customHeight="1">
      <c r="A80" s="110" t="s">
        <v>276</v>
      </c>
      <c r="B80" s="111"/>
      <c r="C80" s="111"/>
      <c r="D80" s="111"/>
      <c r="E80" s="111"/>
      <c r="F80" s="111"/>
      <c r="G80" s="111"/>
      <c r="H80" s="112"/>
    </row>
    <row r="81" ht="18.0" customHeight="1">
      <c r="A81" s="93" t="s">
        <v>277</v>
      </c>
      <c r="B81" s="94" t="s">
        <v>278</v>
      </c>
      <c r="C81" s="94" t="s">
        <v>279</v>
      </c>
      <c r="D81" s="94" t="s">
        <v>280</v>
      </c>
      <c r="E81" s="95">
        <v>1.0</v>
      </c>
      <c r="F81" s="96">
        <v>220.0</v>
      </c>
      <c r="G81" s="97">
        <f t="shared" ref="G81:G85" si="3">E81*F81</f>
        <v>220</v>
      </c>
      <c r="H81" s="94" t="s">
        <v>173</v>
      </c>
    </row>
    <row r="82" ht="18.0" customHeight="1">
      <c r="A82" s="98" t="s">
        <v>281</v>
      </c>
      <c r="B82" s="99" t="s">
        <v>282</v>
      </c>
      <c r="C82" s="99" t="s">
        <v>283</v>
      </c>
      <c r="D82" s="99" t="s">
        <v>284</v>
      </c>
      <c r="E82" s="100">
        <v>1.0</v>
      </c>
      <c r="F82" s="101">
        <v>75.0</v>
      </c>
      <c r="G82" s="102">
        <f t="shared" si="3"/>
        <v>75</v>
      </c>
      <c r="H82" s="99" t="s">
        <v>82</v>
      </c>
    </row>
    <row r="83" ht="18.0" customHeight="1">
      <c r="A83" s="93" t="s">
        <v>285</v>
      </c>
      <c r="B83" s="94" t="s">
        <v>286</v>
      </c>
      <c r="C83" s="94" t="s">
        <v>287</v>
      </c>
      <c r="D83" s="94" t="s">
        <v>288</v>
      </c>
      <c r="E83" s="95">
        <v>1.0</v>
      </c>
      <c r="F83" s="96">
        <v>18.0</v>
      </c>
      <c r="G83" s="97">
        <f t="shared" si="3"/>
        <v>18</v>
      </c>
      <c r="H83" s="94" t="s">
        <v>289</v>
      </c>
    </row>
    <row r="84" ht="18.0" customHeight="1">
      <c r="A84" s="98" t="s">
        <v>290</v>
      </c>
      <c r="B84" s="99" t="s">
        <v>291</v>
      </c>
      <c r="C84" s="99" t="s">
        <v>292</v>
      </c>
      <c r="D84" s="99" t="s">
        <v>293</v>
      </c>
      <c r="E84" s="100">
        <v>1.0</v>
      </c>
      <c r="F84" s="101">
        <v>32.0</v>
      </c>
      <c r="G84" s="102">
        <f t="shared" si="3"/>
        <v>32</v>
      </c>
      <c r="H84" s="99" t="s">
        <v>294</v>
      </c>
    </row>
    <row r="85" ht="18.0" customHeight="1">
      <c r="A85" s="93" t="s">
        <v>295</v>
      </c>
      <c r="B85" s="94" t="s">
        <v>296</v>
      </c>
      <c r="C85" s="94" t="s">
        <v>297</v>
      </c>
      <c r="D85" s="94" t="s">
        <v>298</v>
      </c>
      <c r="E85" s="95">
        <v>1.0</v>
      </c>
      <c r="F85" s="96">
        <v>20.0</v>
      </c>
      <c r="G85" s="97">
        <f t="shared" si="3"/>
        <v>20</v>
      </c>
      <c r="H85" s="94" t="s">
        <v>299</v>
      </c>
    </row>
    <row r="86" ht="19.5" customHeight="1">
      <c r="A86" s="113" t="s">
        <v>234</v>
      </c>
      <c r="B86" s="114" t="s">
        <v>300</v>
      </c>
      <c r="C86" s="105"/>
      <c r="D86" s="106"/>
      <c r="E86" s="107">
        <f>SUM(E81:E85)</f>
        <v>5</v>
      </c>
      <c r="F86" s="115" t="s">
        <v>301</v>
      </c>
      <c r="G86" s="109">
        <f>SUM(G81:G85)</f>
        <v>365</v>
      </c>
      <c r="H86" s="115" t="s">
        <v>301</v>
      </c>
    </row>
    <row r="87" ht="12.0" customHeight="1">
      <c r="A87" s="91" t="s">
        <v>301</v>
      </c>
      <c r="B87" s="91" t="s">
        <v>301</v>
      </c>
      <c r="C87" s="91" t="s">
        <v>301</v>
      </c>
      <c r="D87" s="91" t="s">
        <v>301</v>
      </c>
      <c r="E87" s="91" t="s">
        <v>301</v>
      </c>
      <c r="F87" s="91" t="s">
        <v>301</v>
      </c>
      <c r="G87" s="91" t="s">
        <v>301</v>
      </c>
      <c r="H87" s="91" t="s">
        <v>301</v>
      </c>
    </row>
    <row r="88" ht="22.5" customHeight="1">
      <c r="A88" s="116" t="s">
        <v>302</v>
      </c>
      <c r="B88" s="117" t="s">
        <v>303</v>
      </c>
      <c r="C88" s="111"/>
      <c r="D88" s="112"/>
      <c r="E88" s="118">
        <f>E67+E78+E86</f>
        <v>146</v>
      </c>
      <c r="F88" s="119" t="s">
        <v>301</v>
      </c>
      <c r="G88" s="120">
        <f>G67+G78+G86</f>
        <v>6500.35</v>
      </c>
      <c r="H88" s="119" t="s">
        <v>301</v>
      </c>
    </row>
  </sheetData>
  <mergeCells count="14">
    <mergeCell ref="B3:C3"/>
    <mergeCell ref="B67:D67"/>
    <mergeCell ref="A69:H69"/>
    <mergeCell ref="B78:D78"/>
    <mergeCell ref="A80:H80"/>
    <mergeCell ref="B86:D86"/>
    <mergeCell ref="B88:D88"/>
    <mergeCell ref="A1:E1"/>
    <mergeCell ref="B2:C2"/>
    <mergeCell ref="E2:F2"/>
    <mergeCell ref="H2:I2"/>
    <mergeCell ref="E3:F3"/>
    <mergeCell ref="H3:I3"/>
    <mergeCell ref="A5:H5"/>
  </mergeCells>
  <drawing r:id="rId1"/>
</worksheet>
</file>