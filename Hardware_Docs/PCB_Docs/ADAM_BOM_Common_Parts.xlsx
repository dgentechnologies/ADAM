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- Common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<sst xmlns="http://schemas.openxmlformats.org/spreadsheetml/2006/main" count="345" uniqueCount="298">
  <si>
    <t xml:space="preserve">PROJECT ADAM — BOM (Common Parts Consolidated)</t>
  </si>
  <si>
    <t xml:space="preserve">Revision:</t>
  </si>
  <si>
    <t xml:space="preserve">v1.1</t>
  </si>
  <si>
    <t xml:space="preserve">TOTAL BOM COST (₹)</t>
  </si>
  <si>
    <t xml:space="preserve">UNIQUE LINE ITEMS (A)</t>
  </si>
  <si>
    <t xml:space="preserve">Ref Des (Body)</t>
  </si>
  <si>
    <t xml:space="preserve">Ref Des (Head)</t>
  </si>
  <si>
    <t xml:space="preserve">Component</t>
  </si>
  <si>
    <t xml:space="preserve">MPN</t>
  </si>
  <si>
    <t xml:space="preserve">Package</t>
  </si>
  <si>
    <t xml:space="preserve">Body Qty</t>
  </si>
  <si>
    <t xml:space="preserve">Head Qty</t>
  </si>
  <si>
    <t xml:space="preserve">Total Qty</t>
  </si>
  <si>
    <t xml:space="preserve">Unit Price</t>
  </si>
  <si>
    <t xml:space="preserve">Total Price</t>
  </si>
  <si>
    <t xml:space="preserve">Source</t>
  </si>
  <si>
    <t xml:space="preserve">SECTION A1: COMMON COMPONENTS — same MPN used on BOTH Body and Head boards (order once, combined qty)</t>
  </si>
  <si>
    <t xml:space="preserve">C1,C2,C3, C_AMP</t>
  </si>
  <si>
    <t xml:space="preserve">C1,C2,C3</t>
  </si>
  <si>
    <t xml:space="preserve">10μF 16V X5R ceramic — decoupling / bulk (LDO, camera 3.3V, amp VDD)</t>
  </si>
  <si>
    <t xml:space="preserve">CL10A106KP8NNNC</t>
  </si>
  <si>
    <t xml:space="preserve">0603</t>
  </si>
  <si>
    <t xml:space="preserve">Local passives / Robu</t>
  </si>
  <si>
    <t xml:space="preserve">C4,C5,C6, C_MICVDD1, C_MICVDD2</t>
  </si>
  <si>
    <t xml:space="preserve">C4-C8</t>
  </si>
  <si>
    <t xml:space="preserve">100nF 50V X7R ceramic — decoupling</t>
  </si>
  <si>
    <t xml:space="preserve">CC0603KRX7R9BB104</t>
  </si>
  <si>
    <t xml:space="preserve">J_RADAR</t>
  </si>
  <si>
    <t xml:space="preserve">J_T1-J_T4</t>
  </si>
  <si>
    <t xml:space="preserve">3-pin JST-PH (radar on Body; TTP223 touch modules on Head)</t>
  </si>
  <si>
    <t xml:space="preserve">S3B-PH-K-S(LF)(SN)</t>
  </si>
  <si>
    <t xml:space="preserve">2.0mm R/A</t>
  </si>
  <si>
    <t xml:space="preserve">Robu / Quartz</t>
  </si>
  <si>
    <t xml:space="preserve">J_NECK, J_MIC_L, J_MIC_R</t>
  </si>
  <si>
    <t xml:space="preserve">J_NECK</t>
  </si>
  <si>
    <t xml:space="preserve">4-pin JST-PH (neck link both ends; mic modules on Body)</t>
  </si>
  <si>
    <t xml:space="preserve">S4B-PH-K-S(LF)(SN)</t>
  </si>
  <si>
    <t xml:space="preserve">LED1</t>
  </si>
  <si>
    <t xml:space="preserve">Green LED — power indicator (5V on Body, 3.3V on Head)</t>
  </si>
  <si>
    <t xml:space="preserve">0603-LED-GREEN</t>
  </si>
  <si>
    <t xml:space="preserve">Local passives</t>
  </si>
  <si>
    <t xml:space="preserve">R_LED1</t>
  </si>
  <si>
    <t xml:space="preserve">1.0kΩ 1% — LED current limiter</t>
  </si>
  <si>
    <t xml:space="preserve">RC0603FR-071KL</t>
  </si>
  <si>
    <t xml:space="preserve">R_LRL, R_LRR</t>
  </si>
  <si>
    <t xml:space="preserve">R_PD1-R_PD4, R_EN, R_BOOT</t>
  </si>
  <si>
    <t xml:space="preserve">10kΩ 1% resistor — pull-up/pull-down (mic L/R, touch, EN, BOOT)</t>
  </si>
  <si>
    <t xml:space="preserve">RC0603FR-0710KL</t>
  </si>
  <si>
    <t xml:space="preserve">PCB</t>
  </si>
  <si>
    <t xml:space="preserve">Custom PCB (2 layer) — one per board</t>
  </si>
  <si>
    <t xml:space="preserve">CUSTOM-PCB-2L</t>
  </si>
  <si>
    <t xml:space="preserve">2-Layer FR4</t>
  </si>
  <si>
    <t xml:space="preserve">Custom Fabrication</t>
  </si>
  <si>
    <t xml:space="preserve">SUBTOTAL</t>
  </si>
  <si>
    <t xml:space="preserve">Section A1 — Common Components Subtotal</t>
  </si>
  <si>
    <t xml:space="preserve">SECTION A2: BODY BOARD ONLY (Raspberry Pi Zero 2W board)</t>
  </si>
  <si>
    <t xml:space="preserve">U1</t>
  </si>
  <si>
    <t xml:space="preserve">Raspberry Pi Zero 2W</t>
  </si>
  <si>
    <t xml:space="preserve">SC0510 / RPI-ZERO-2W</t>
  </si>
  <si>
    <t xml:space="preserve">Module, 65×30mm</t>
  </si>
  <si>
    <t xml:space="preserve">Robu.in / Supreme Electronics (Chandni Chowk)</t>
  </si>
  <si>
    <t xml:space="preserve">J1A, J1B</t>
  </si>
  <si>
    <t xml:space="preserve">2×20 Dual-Row Female SMD Header, 2.54mm pitch, 5.0mm low profile</t>
  </si>
  <si>
    <t xml:space="preserve">2X20-FEMALE-THT-2.54</t>
  </si>
  <si>
    <t xml:space="preserve">SMD Dual Row 2×20</t>
  </si>
  <si>
    <t xml:space="preserve">Quartz Components / Robu.in</t>
  </si>
  <si>
    <t xml:space="preserve">J_PWR</t>
  </si>
  <si>
    <t xml:space="preserve">USB Type-C Receptacle, power-only, 5V@3-5A</t>
  </si>
  <si>
    <t xml:space="preserve">TYPE-C-16P-SMD</t>
  </si>
  <si>
    <t xml:space="preserve">SMD Hybrid 16-Pin</t>
  </si>
  <si>
    <t xml:space="preserve">Evelta / Robu / Chandni</t>
  </si>
  <si>
    <t xml:space="preserve">R1, R2</t>
  </si>
  <si>
    <t xml:space="preserve">5.1kW 1% resistor — USB-C CC1/CC2 pulldown</t>
  </si>
  <si>
    <t xml:space="preserve">RC0603FR-075K1L</t>
  </si>
  <si>
    <t xml:space="preserve">F1</t>
  </si>
  <si>
    <t xml:space="preserve">PTC resettable polyfuse, 3.0A hold / 3.5-6.0A trip, 6V min — primary input</t>
  </si>
  <si>
    <t xml:space="preserve">SMD1812P300TF</t>
  </si>
  <si>
    <t xml:space="preserve">Evelta / Mouser</t>
  </si>
  <si>
    <t xml:space="preserve">Q1</t>
  </si>
  <si>
    <t xml:space="preserve">P-Channel MOSFET, 30V 4.2A, Rds(on)&lt;50mW — reverse-polarity protection</t>
  </si>
  <si>
    <t xml:space="preserve">AO3401A / DMG3415U</t>
  </si>
  <si>
    <t xml:space="preserve">SOT-23-3</t>
  </si>
  <si>
    <t xml:space="preserve">Quartz / Evelta</t>
  </si>
  <si>
    <t xml:space="preserve">D1</t>
  </si>
  <si>
    <t xml:space="preserve">TVS diode array, ESD protection USB/VBUS, 5V unidirectional</t>
  </si>
  <si>
    <t xml:space="preserve">USBLC6-2SC6</t>
  </si>
  <si>
    <t xml:space="preserve">SOT-23-6</t>
  </si>
  <si>
    <t xml:space="preserve">C_BULK_IN</t>
  </si>
  <si>
    <t xml:space="preserve">2200μF 16V low-ESR radial electrolytic — input power reservoir</t>
  </si>
  <si>
    <t xml:space="preserve">UPW1C222MHD</t>
  </si>
  <si>
    <t xml:space="preserve">Radial 10×20mm</t>
  </si>
  <si>
    <t xml:space="preserve">Supreme / Classic Electronics</t>
  </si>
  <si>
    <t xml:space="preserve">F_SERVO</t>
  </si>
  <si>
    <t xml:space="preserve">PTC resettable polyfuse, 0.75A hold / 1.5A trip — servo subsystem isolation</t>
  </si>
  <si>
    <t xml:space="preserve">SMD1206P075TF</t>
  </si>
  <si>
    <t xml:space="preserve">C_SERVO_LOC</t>
  </si>
  <si>
    <t xml:space="preserve">1000μF 16V low-ESR radial electrolytic, mounted at J_SERVO pins</t>
  </si>
  <si>
    <t xml:space="preserve">UPW1C102MPD</t>
  </si>
  <si>
    <t xml:space="preserve">Radial 8×15mm</t>
  </si>
  <si>
    <t xml:space="preserve">Supreme Electronics</t>
  </si>
  <si>
    <t xml:space="preserve">D_SERVO</t>
  </si>
  <si>
    <t xml:space="preserve">3A 40V Schottky diode — flyback/back-EMF clamp, cathode to +5V_SERVO, anode to GND</t>
  </si>
  <si>
    <t xml:space="preserve">SS34 / B340A</t>
  </si>
  <si>
    <t xml:space="preserve">SMA / DO-214AC</t>
  </si>
  <si>
    <t xml:space="preserve">J_SERVO</t>
  </si>
  <si>
    <t xml:space="preserve">3-pin JST-XH/Berg header — GND, +5V_SERVO, PWM (to MG90S pan servo)</t>
  </si>
  <si>
    <t xml:space="preserve">B3B-XH-A(LF)(SN)</t>
  </si>
  <si>
    <t xml:space="preserve">2.54mm R/A</t>
  </si>
  <si>
    <t xml:space="preserve">Robu / Chandni</t>
  </si>
  <si>
    <t xml:space="preserve">SPK1</t>
  </si>
  <si>
    <t xml:space="preserve">50mm dynamic speaker, 4-8Ω 3W</t>
  </si>
  <si>
    <t xml:space="preserve">SPK-50MM-8R-3W</t>
  </si>
  <si>
    <t xml:space="preserve">50mm Round</t>
  </si>
  <si>
    <t xml:space="preserve">Robu.in / Quartz Components</t>
  </si>
  <si>
    <t xml:space="preserve">U_AMP</t>
  </si>
  <si>
    <t xml:space="preserve">3.2W mono Class-D I2S audio amp with internal DAC</t>
  </si>
  <si>
    <t xml:space="preserve">MAX98357AETE+T</t>
  </si>
  <si>
    <t xml:space="preserve">16-TQFN 3×3mm</t>
  </si>
  <si>
    <t xml:space="preserve">Evelta / Mouser / DigiKey</t>
  </si>
  <si>
    <t xml:space="preserve">R_GAIN</t>
  </si>
  <si>
    <t xml:space="preserve">100kW 1% — GAIN_SLOT (Pin 2) tied to GND ® fixed +12dB (floating-pin drift fix)</t>
  </si>
  <si>
    <t xml:space="preserve">RC0603FR-07100KL</t>
  </si>
  <si>
    <t xml:space="preserve">L_FLT1, L_FLT2</t>
  </si>
  <si>
    <t xml:space="preserve">Ferrite bead, 100MHz 600W, 2A — speaker EMI filter</t>
  </si>
  <si>
    <t xml:space="preserve">BLM18PG601SN1D</t>
  </si>
  <si>
    <t xml:space="preserve">Mouser / Evelta</t>
  </si>
  <si>
    <t xml:space="preserve">C_FLT1, C_FLT2</t>
  </si>
  <si>
    <t xml:space="preserve">220pF 50V C0G ceramic filter cap</t>
  </si>
  <si>
    <t xml:space="preserve">CC0603JRNPO9BN221</t>
  </si>
  <si>
    <t xml:space="preserve">J_SPK</t>
  </si>
  <si>
    <t xml:space="preserve">2-pin JST-PH — to 3W 4/8W speaker</t>
  </si>
  <si>
    <t xml:space="preserve">S2B-PH-K-S(LF)(SN)</t>
  </si>
  <si>
    <t xml:space="preserve">RADAR_MOD</t>
  </si>
  <si>
    <t xml:space="preserve">RCWL-0516 microwave radar motion sensor module</t>
  </si>
  <si>
    <t xml:space="preserve">RCWL-0516</t>
  </si>
  <si>
    <t xml:space="preserve">Module, 35×17mm</t>
  </si>
  <si>
    <t xml:space="preserve">CBL_NECK</t>
  </si>
  <si>
    <t xml:space="preserve">4-core shielded high-flex twisted cable, 28AWG silicone, braided shield to GND (single-point, body side only)</t>
  </si>
  <si>
    <t xml:space="preserve">CBL-4C-SHIELD-28AWG</t>
  </si>
  <si>
    <t xml:space="preserve">External harness, 30cm</t>
  </si>
  <si>
    <t xml:space="preserve">Evelta / Chandni wire market</t>
  </si>
  <si>
    <t xml:space="preserve">TP1-TP8</t>
  </si>
  <si>
    <t xml:space="preserve">SMD test points: GND, 5V, 3V3, BCLK, WS, DIN, DOUT, PWM</t>
  </si>
  <si>
    <t xml:space="preserve">RC0805 pad</t>
  </si>
  <si>
    <t xml:space="preserve">0805 copper pad</t>
  </si>
  <si>
    <t xml:space="preserve">PCB etched copper</t>
  </si>
  <si>
    <t xml:space="preserve">MIC_L, MIC_R</t>
  </si>
  <si>
    <t xml:space="preserve">INMP441 I2S digital MEMS microphone breakout module (24-bit, omnidirectional, on-board regulator)</t>
  </si>
  <si>
    <t xml:space="preserve">INMP441-BREAKOUT</t>
  </si>
  <si>
    <t xml:space="preserve">6-pin breakout, external</t>
  </si>
  <si>
    <t xml:space="preserve">Robu.in / Evelta</t>
  </si>
  <si>
    <t xml:space="preserve">SD1</t>
  </si>
  <si>
    <t xml:space="preserve">32GB Micro SD Card, Class 10 UHS-I</t>
  </si>
  <si>
    <t xml:space="preserve">SDSQUAR-032G-GN6MA</t>
  </si>
  <si>
    <t xml:space="preserve">MicroSD</t>
  </si>
  <si>
    <t xml:space="preserve">MISC</t>
  </si>
  <si>
    <t xml:space="preserve">Miscellaneous and wires (shared)</t>
  </si>
  <si>
    <t xml:space="preserve">Section A2 — Body Only Subtotal</t>
  </si>
  <si>
    <t xml:space="preserve">SECTION A3: HEAD BOARD ONLY (ESP32-S3 board)</t>
  </si>
  <si>
    <t xml:space="preserve">ESP32-S3 dual-core MCU module, 8MB flash, 8MB Octal PSRAM</t>
  </si>
  <si>
    <t xml:space="preserve">ESP32-S3-WROOM-1-N8 R8</t>
  </si>
  <si>
    <t xml:space="preserve">SMD Module 18×25.5mm</t>
  </si>
  <si>
    <t xml:space="preserve">Robu.in / Evelta / Amar Radio (Chandni)</t>
  </si>
  <si>
    <t xml:space="preserve">U2</t>
  </si>
  <si>
    <t xml:space="preserve">3.3V 1.0A LDO regulator (5V ® 3.3V)</t>
  </si>
  <si>
    <t xml:space="preserve">AMS1117-3.3 / AP2114H-3.3TRG1</t>
  </si>
  <si>
    <t xml:space="preserve">SOT-223</t>
  </si>
  <si>
    <t xml:space="preserve">Supreme Electronics / Robu.in</t>
  </si>
  <si>
    <t xml:space="preserve">C_SERVO</t>
  </si>
  <si>
    <t xml:space="preserve">220μF 16V low-ESR radial — tilt servo inrush buffer</t>
  </si>
  <si>
    <t xml:space="preserve">UPW1C221MPD</t>
  </si>
  <si>
    <t xml:space="preserve">Radial 6.3×11mm</t>
  </si>
  <si>
    <t xml:space="preserve">Classic Electronics / Chandni</t>
  </si>
  <si>
    <t xml:space="preserve">J_CAM</t>
  </si>
  <si>
    <t xml:space="preserve">24-pin 0.5mm FPC connector (bottom-contact, ZIF)</t>
  </si>
  <si>
    <t xml:space="preserve">FH12-24S-0.5SH(55)</t>
  </si>
  <si>
    <t xml:space="preserve">0.5mm SMD R/A</t>
  </si>
  <si>
    <t xml:space="preserve">Evelta / Robu.in</t>
  </si>
  <si>
    <t xml:space="preserve">CAM_MOD</t>
  </si>
  <si>
    <t xml:space="preserve">OV2640 2MP camera sensor, 75mm extended flex, wide angle</t>
  </si>
  <si>
    <t xml:space="preserve">OV2640-FPC-75MM</t>
  </si>
  <si>
    <t xml:space="preserve">24-pin 0.5mm FPC</t>
  </si>
  <si>
    <t xml:space="preserve">Robu.in / Supreme Electronics</t>
  </si>
  <si>
    <t xml:space="preserve">R_CAM1, R_CAM2</t>
  </si>
  <si>
    <t xml:space="preserve">2.2kW 1% — camera SCCB/I2C pull-up (SIOD/SIOC)</t>
  </si>
  <si>
    <t xml:space="preserve">RC0603FR-072K2L</t>
  </si>
  <si>
    <t xml:space="preserve">J_TFT</t>
  </si>
  <si>
    <t xml:space="preserve">20-pin 0.5mm FPC connector (back-flip lock)</t>
  </si>
  <si>
    <t xml:space="preserve">20PIN-05-FPC</t>
  </si>
  <si>
    <t xml:space="preserve">TFT_PANEL</t>
  </si>
  <si>
    <t xml:space="preserve">2.4" 320×240 ILI9341 TFT, 20-pin bare flex</t>
  </si>
  <si>
    <t xml:space="preserve">ILI9341-2.4-20P-FPC</t>
  </si>
  <si>
    <t xml:space="preserve">20-pin FPC panel</t>
  </si>
  <si>
    <t xml:space="preserve">Robu.in / Quartz / Chandni</t>
  </si>
  <si>
    <t xml:space="preserve">R_BL</t>
  </si>
  <si>
    <t xml:space="preserve">10W 1% 1/8W — backlight current limiter</t>
  </si>
  <si>
    <t xml:space="preserve">RC0805FR-0710RL</t>
  </si>
  <si>
    <t xml:space="preserve">0805</t>
  </si>
  <si>
    <t xml:space="preserve">TP_T1-TP_T4</t>
  </si>
  <si>
    <t xml:space="preserve">Circular copper touch pads (native capacitive touch alt.)</t>
  </si>
  <si>
    <t xml:space="preserve">PAD-TOUCH-ROUND-6MM</t>
  </si>
  <si>
    <t xml:space="preserve">PCB top copper pad</t>
  </si>
  <si>
    <t xml:space="preserve">TTP223_MOD</t>
  </si>
  <si>
    <t xml:space="preserve">TTP223 capacitive touch breakout module</t>
  </si>
  <si>
    <t xml:space="preserve">TTP223-MODULE</t>
  </si>
  <si>
    <t xml:space="preserve">Mini PCB, external</t>
  </si>
  <si>
    <t xml:space="preserve">Supreme Electronics / Chandni</t>
  </si>
  <si>
    <t xml:space="preserve">3-pin 2.54mm header — tilt servo GND/5V/PWM</t>
  </si>
  <si>
    <t xml:space="preserve">1X3-PIN-HEADER-2.54</t>
  </si>
  <si>
    <t xml:space="preserve">2.54mm vertical</t>
  </si>
  <si>
    <t xml:space="preserve">SERVO_MOD</t>
  </si>
  <si>
    <t xml:space="preserve">MG90S metal-gear micro servo 9g</t>
  </si>
  <si>
    <t xml:space="preserve">MG90S-SERVO</t>
  </si>
  <si>
    <t xml:space="preserve">External actuator</t>
  </si>
  <si>
    <t xml:space="preserve">TP_POGO1-8</t>
  </si>
  <si>
    <t xml:space="preserve">8× pogo test pads — 3V3/GND/EN/IO0/TX0/RX0/D-/D+</t>
  </si>
  <si>
    <t xml:space="preserve">PAD-POGO-1.5MM</t>
  </si>
  <si>
    <t xml:space="preserve">1.5mm copper pad</t>
  </si>
  <si>
    <t xml:space="preserve">PCB bottom etched copper</t>
  </si>
  <si>
    <t xml:space="preserve">C_EN</t>
  </si>
  <si>
    <t xml:space="preserve">1μF 16V X7R — EN power-on delay</t>
  </si>
  <si>
    <t xml:space="preserve">CC0603KRX7R7BB105</t>
  </si>
  <si>
    <t xml:space="preserve">Section A3 — Head Only Subtotal</t>
  </si>
  <si>
    <t xml:space="preserve">TOTAL</t>
  </si>
  <si>
    <t xml:space="preserve">Section A — Electronics Total (A1 + A2 + A3)</t>
  </si>
  <si>
    <t xml:space="preserve">SECTION B: MECHANICAL &amp; HARDWARE COMPONENTS</t>
  </si>
  <si>
    <t xml:space="preserve">ENC1</t>
  </si>
  <si>
    <t xml:space="preserve">3D Printed ABS Shell</t>
  </si>
  <si>
    <t xml:space="preserve">3DP-ABS-SHELL-01</t>
  </si>
  <si>
    <t xml:space="preserve">3D Printed ABS</t>
  </si>
  <si>
    <t xml:space="preserve">3D Printing Service</t>
  </si>
  <si>
    <t xml:space="preserve">ACR1</t>
  </si>
  <si>
    <t xml:space="preserve">Transparent Acrylic Sheet (2mm thickness)</t>
  </si>
  <si>
    <t xml:space="preserve">ACR-CLR-2MM</t>
  </si>
  <si>
    <t xml:space="preserve">2mm Cut Sheet</t>
  </si>
  <si>
    <t xml:space="preserve">Local Acrylic Fabricator / Robu.in</t>
  </si>
  <si>
    <t xml:space="preserve">SCR1</t>
  </si>
  <si>
    <t xml:space="preserve">M3 × 12mm Phillips Pan Head Machine Screw</t>
  </si>
  <si>
    <t xml:space="preserve">SCREW-M3-12-PAN-PH</t>
  </si>
  <si>
    <t xml:space="preserve">M3 × 12mm</t>
  </si>
  <si>
    <t xml:space="preserve">SCR2</t>
  </si>
  <si>
    <t xml:space="preserve">M3 × 12mm CSK Countersunk Phillips Flat Head Screw</t>
  </si>
  <si>
    <t xml:space="preserve">SCREW-M3-12-CSK-PH</t>
  </si>
  <si>
    <t xml:space="preserve">M3 × 12mm CSK</t>
  </si>
  <si>
    <t xml:space="preserve">Robu.in / Sharvi Electronics</t>
  </si>
  <si>
    <t xml:space="preserve">SCR3</t>
  </si>
  <si>
    <t xml:space="preserve">M2 × 10mm Phillips Pan Head Machine Screw</t>
  </si>
  <si>
    <t xml:space="preserve">SCREW-M2-10-PAN-PH</t>
  </si>
  <si>
    <t xml:space="preserve">M2 × 10mm</t>
  </si>
  <si>
    <t xml:space="preserve">Quartz Components / Fastdep.in</t>
  </si>
  <si>
    <t xml:space="preserve">SCR4</t>
  </si>
  <si>
    <t xml:space="preserve">M1 × 5mm Phillips Pan Head Micro Screw</t>
  </si>
  <si>
    <t xml:space="preserve">SCREW-M1-5-PAN-PH</t>
  </si>
  <si>
    <t xml:space="preserve">M1 × 5mm</t>
  </si>
  <si>
    <t xml:space="preserve">Local Hardware / IndiaMART</t>
  </si>
  <si>
    <t xml:space="preserve">BRG1</t>
  </si>
  <si>
    <t xml:space="preserve">Deep Groove Ball Bearing (32mm OD × 10mm ID × 9mm)</t>
  </si>
  <si>
    <t xml:space="preserve">BB-6200-2RS-32MM</t>
  </si>
  <si>
    <t xml:space="preserve">32mm OD Bearing</t>
  </si>
  <si>
    <t xml:space="preserve">Local Bearing Market / Robu.in</t>
  </si>
  <si>
    <t xml:space="preserve">INS1</t>
  </si>
  <si>
    <t xml:space="preserve">M3 × 4mm Knurled Brass Heat-Set Threaded Insert</t>
  </si>
  <si>
    <t xml:space="preserve">INSERT-BRASS-M3-4MM</t>
  </si>
  <si>
    <t xml:space="preserve">M3 × 4mm</t>
  </si>
  <si>
    <t xml:space="preserve">Section B — Mechanical &amp; Hardware Subtotal</t>
  </si>
  <si>
    <t xml:space="preserve">SECTION C: PACKAGING, ACCESSORIES &amp; DOCUMENTATION</t>
  </si>
  <si>
    <t xml:space="preserve">ADPT1</t>
  </si>
  <si>
    <t xml:space="preserve">5V 3A Power Adapter with USB Type-C Plug (EU/India 2-pin)</t>
  </si>
  <si>
    <t xml:space="preserve">ADP-0530-USBC</t>
  </si>
  <si>
    <t xml:space="preserve">Wall Adapter (Wall Wart)</t>
  </si>
  <si>
    <t xml:space="preserve">CBL1</t>
  </si>
  <si>
    <t xml:space="preserve">USB Type-C to Type-C Cable (1m, 3A / 60W rated, PVC/TPE)</t>
  </si>
  <si>
    <t xml:space="preserve">CBL-USBC-1M-3A</t>
  </si>
  <si>
    <t xml:space="preserve">1m Cable Harness</t>
  </si>
  <si>
    <t xml:space="preserve">DOC1</t>
  </si>
  <si>
    <t xml:space="preserve">User Manual &amp; Quick Start Guide (A5, 8 pages, color, saddle-stitch)</t>
  </si>
  <si>
    <t xml:space="preserve">MAN-ADAM-V10</t>
  </si>
  <si>
    <t xml:space="preserve">A5 Booklet</t>
  </si>
  <si>
    <t xml:space="preserve">Printster.in / Local Print House</t>
  </si>
  <si>
    <t xml:space="preserve">BOX1</t>
  </si>
  <si>
    <t xml:space="preserve">Custom Printed Corrugated Packaging Box (E-Flute, 200×150×100mm)</t>
  </si>
  <si>
    <t xml:space="preserve">BOX-CORR-200X150</t>
  </si>
  <si>
    <t xml:space="preserve">3-Ply Corrugated Box</t>
  </si>
  <si>
    <t xml:space="preserve">Boxify.co.in / TradeIndia / Local Fabricator</t>
  </si>
  <si>
    <t xml:space="preserve">PKG1</t>
  </si>
  <si>
    <t xml:space="preserve">Die-cut Protective EPE Foam Insert &amp; Packaging Cushioning</t>
  </si>
  <si>
    <t xml:space="preserve">PKG-EPE-INSERT</t>
  </si>
  <si>
    <t xml:space="preserve">Custom Die-cut Foam</t>
  </si>
  <si>
    <t xml:space="preserve">DCGPac / Local Packaging Supplier</t>
  </si>
  <si>
    <t xml:space="preserve">Section C — Packaging &amp; Accessories Subtotal</t>
  </si>
  <si>
    <t xml:space="preserve">GRAND TOTAL</t>
  </si>
  <si>
    <t xml:space="preserve">Grand Total (Electronics + Mechanical + Packaging)</t>
  </si>
  <si>
    <t xml:space="preserve">NOTES</t>
  </si>
  <si>
    <t xml:space="preserve">1. Blue = input values (qty, unit price) carried from the original ADAM_BOM.xlsx (Variant A). Black = formulas.</t>
  </si>
  <si>
    <t xml:space="preserve">2. Section A1 merges lines with identical MPN found in both Body (rows 6-39) and Head (rows 40-63) of the original BOM. Prices per unit unchanged, so the grand total equals the original.</t>
  </si>
  <si>
    <t xml:space="preserve">3. Section A1 rows (yellow) are the parts to buy in one combined order; Body Qty / Head Qty show how many go on each board.</t>
  </si>
  <si>
    <t xml:space="preserve">4. J_MIC_L/J_MIC_R are described as 6-pin but the MPN S4B-PH-K-S(LF)(SN) is a 4-pin part — verify the connector before ordering.</t>
  </si>
  <si>
    <t xml:space="preserve">5. Body J_SERVO (JST-XH, B3B-XH-A) and Head J_SERVO (2.54mm header) are different parts, so they stay separate.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</si>
</sst>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General"/>
    <numFmt numFmtId="167" formatCode="0;\-0;\-"/>
    <numFmt numFmtId="168" formatCode="#,##0.00;\(#,##0.00\);\-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98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989"/>
        <bgColor rgb="FF2B4B7D"/>
      </patternFill>
    </fill>
    <fill>
      <patternFill patternType="solid">
        <fgColor rgb="FF2B4B7D"/>
        <bgColor rgb="FF1E3989"/>
      </patternFill>
    </fill>
    <fill>
      <patternFill patternType="solid">
        <fgColor rgb="FFFFF8E1"/>
        <bgColor rgb="FFFFFFFF"/>
      </patternFill>
    </fill>
    <fill>
      <patternFill patternType="solid">
        <fgColor rgb="FFEDF1F6"/>
        <bgColor rgb="FFE6ECF5"/>
      </patternFill>
    </fill>
    <fill>
      <patternFill patternType="solid">
        <fgColor rgb="FFE6ECF5"/>
        <bgColor rgb="FFEDF1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FFF8E1"/>
      <rgbColor rgb="FFE6EC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B4B7D"/>
      <rgbColor rgb="FF339966"/>
      <rgbColor rgb="FF003300"/>
      <rgbColor rgb="FF333300"/>
      <rgbColor rgb="FF993300"/>
      <rgbColor rgb="FF993366"/>
      <rgbColor rgb="FF1E39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3"/>
      <c r="J1" s="3"/>
      <c r="K1" s="3"/>
    </row>
    <row r="2" customFormat="false" ht="15" hidden="false" customHeight="false" outlineLevel="0" collapsed="false">
      <c r="C2" s="4" t="s">
        <v>3</v>
      </c>
      <c r="D2" s="5" t="n">
        <f aca="false">J80</f>
        <v>6496.35</v>
      </c>
      <c r="E2" s="4" t="s">
        <v>4</v>
      </c>
      <c r="F2" s="6" t="n">
        <f aca="false">COUNTA(D5:D58)-COUNTBLANK(D5:D58)*0</f>
        <v>46</v>
      </c>
    </row>
    <row r="3" customFormat="false" ht="15" hidden="false" customHeight="fals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</row>
    <row r="4" customFormat="false" ht="15" hidden="false" customHeight="false" outlineLevel="0" collapsed="false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customFormat="false" ht="15" hidden="false" customHeight="false" outlineLevel="0" collapsed="false">
      <c r="A5" s="9" t="s">
        <v>17</v>
      </c>
      <c r="B5" s="9" t="s">
        <v>18</v>
      </c>
      <c r="C5" s="10" t="s">
        <v>19</v>
      </c>
      <c r="D5" s="9" t="s">
        <v>20</v>
      </c>
      <c r="E5" s="9" t="s">
        <v>21</v>
      </c>
      <c r="F5" s="11" t="n">
        <v>4</v>
      </c>
      <c r="G5" s="11" t="n">
        <v>3</v>
      </c>
      <c r="H5" s="12" t="n">
        <f aca="false">F5+G5</f>
        <v>7</v>
      </c>
      <c r="I5" s="13" t="n">
        <v>3.5</v>
      </c>
      <c r="J5" s="14" t="n">
        <f aca="false">H5*I5</f>
        <v>24.5</v>
      </c>
      <c r="K5" s="10" t="s">
        <v>22</v>
      </c>
    </row>
    <row r="6" customFormat="false" ht="15" hidden="false" customHeight="false" outlineLevel="0" collapsed="false">
      <c r="A6" s="9" t="s">
        <v>23</v>
      </c>
      <c r="B6" s="9" t="s">
        <v>24</v>
      </c>
      <c r="C6" s="10" t="s">
        <v>25</v>
      </c>
      <c r="D6" s="9" t="s">
        <v>26</v>
      </c>
      <c r="E6" s="9" t="s">
        <v>21</v>
      </c>
      <c r="F6" s="11" t="n">
        <v>5</v>
      </c>
      <c r="G6" s="11" t="n">
        <v>5</v>
      </c>
      <c r="H6" s="12" t="n">
        <f aca="false">F6+G6</f>
        <v>10</v>
      </c>
      <c r="I6" s="13" t="n">
        <v>1.5</v>
      </c>
      <c r="J6" s="14" t="n">
        <f aca="false">H6*I6</f>
        <v>15</v>
      </c>
      <c r="K6" s="10" t="s">
        <v>22</v>
      </c>
    </row>
    <row r="7" customFormat="false" ht="15" hidden="false" customHeight="false" outlineLevel="0" collapsed="false">
      <c r="A7" s="9" t="s">
        <v>27</v>
      </c>
      <c r="B7" s="9" t="s">
        <v>28</v>
      </c>
      <c r="C7" s="10" t="s">
        <v>29</v>
      </c>
      <c r="D7" s="9" t="s">
        <v>30</v>
      </c>
      <c r="E7" s="9" t="s">
        <v>31</v>
      </c>
      <c r="F7" s="11" t="n">
        <v>1</v>
      </c>
      <c r="G7" s="11" t="n">
        <v>4</v>
      </c>
      <c r="H7" s="12" t="n">
        <f aca="false">F7+G7</f>
        <v>5</v>
      </c>
      <c r="I7" s="13" t="n">
        <v>7</v>
      </c>
      <c r="J7" s="14" t="n">
        <f aca="false">H7*I7</f>
        <v>35</v>
      </c>
      <c r="K7" s="10" t="s">
        <v>32</v>
      </c>
    </row>
    <row r="8" customFormat="false" ht="15" hidden="false" customHeight="false" outlineLevel="0" collapsed="false">
      <c r="A8" s="9" t="s">
        <v>33</v>
      </c>
      <c r="B8" s="9" t="s">
        <v>34</v>
      </c>
      <c r="C8" s="10" t="s">
        <v>35</v>
      </c>
      <c r="D8" s="9" t="s">
        <v>36</v>
      </c>
      <c r="E8" s="9" t="s">
        <v>31</v>
      </c>
      <c r="F8" s="11" t="n">
        <v>3</v>
      </c>
      <c r="G8" s="11" t="n">
        <v>1</v>
      </c>
      <c r="H8" s="12" t="n">
        <f aca="false">F8+G8</f>
        <v>4</v>
      </c>
      <c r="I8" s="13" t="n">
        <v>9</v>
      </c>
      <c r="J8" s="14" t="n">
        <f aca="false">H8*I8</f>
        <v>36</v>
      </c>
      <c r="K8" s="10" t="s">
        <v>32</v>
      </c>
    </row>
    <row r="9" customFormat="false" ht="15" hidden="false" customHeight="false" outlineLevel="0" collapsed="false">
      <c r="A9" s="9" t="s">
        <v>37</v>
      </c>
      <c r="B9" s="9" t="s">
        <v>37</v>
      </c>
      <c r="C9" s="10" t="s">
        <v>38</v>
      </c>
      <c r="D9" s="9" t="s">
        <v>39</v>
      </c>
      <c r="E9" s="9" t="s">
        <v>21</v>
      </c>
      <c r="F9" s="11" t="n">
        <v>1</v>
      </c>
      <c r="G9" s="11" t="n">
        <v>1</v>
      </c>
      <c r="H9" s="12" t="n">
        <f aca="false">F9+G9</f>
        <v>2</v>
      </c>
      <c r="I9" s="13" t="n">
        <v>2</v>
      </c>
      <c r="J9" s="14" t="n">
        <f aca="false">H9*I9</f>
        <v>4</v>
      </c>
      <c r="K9" s="10" t="s">
        <v>40</v>
      </c>
    </row>
    <row r="10" customFormat="false" ht="15" hidden="false" customHeight="false" outlineLevel="0" collapsed="false">
      <c r="A10" s="9" t="s">
        <v>41</v>
      </c>
      <c r="B10" s="9" t="s">
        <v>41</v>
      </c>
      <c r="C10" s="10" t="s">
        <v>42</v>
      </c>
      <c r="D10" s="9" t="s">
        <v>43</v>
      </c>
      <c r="E10" s="9" t="s">
        <v>21</v>
      </c>
      <c r="F10" s="11" t="n">
        <v>1</v>
      </c>
      <c r="G10" s="11" t="n">
        <v>1</v>
      </c>
      <c r="H10" s="12" t="n">
        <f aca="false">F10+G10</f>
        <v>2</v>
      </c>
      <c r="I10" s="13" t="n">
        <v>1.5</v>
      </c>
      <c r="J10" s="14" t="n">
        <f aca="false">H10*I10</f>
        <v>3</v>
      </c>
      <c r="K10" s="10" t="s">
        <v>40</v>
      </c>
    </row>
    <row r="11" customFormat="false" ht="15" hidden="false" customHeight="false" outlineLevel="0" collapsed="false">
      <c r="A11" s="9" t="s">
        <v>44</v>
      </c>
      <c r="B11" s="9" t="s">
        <v>45</v>
      </c>
      <c r="C11" s="10" t="s">
        <v>46</v>
      </c>
      <c r="D11" s="9" t="s">
        <v>47</v>
      </c>
      <c r="E11" s="9" t="s">
        <v>21</v>
      </c>
      <c r="F11" s="11" t="n">
        <v>2</v>
      </c>
      <c r="G11" s="11" t="n">
        <v>6</v>
      </c>
      <c r="H11" s="12" t="n">
        <f aca="false">F11+G11</f>
        <v>8</v>
      </c>
      <c r="I11" s="13" t="n">
        <v>1.5</v>
      </c>
      <c r="J11" s="14" t="n">
        <f aca="false">H11*I11</f>
        <v>12</v>
      </c>
      <c r="K11" s="10" t="s">
        <v>40</v>
      </c>
    </row>
    <row r="12" customFormat="false" ht="15" hidden="false" customHeight="false" outlineLevel="0" collapsed="false">
      <c r="A12" s="9" t="s">
        <v>48</v>
      </c>
      <c r="B12" s="9" t="s">
        <v>48</v>
      </c>
      <c r="C12" s="10" t="s">
        <v>49</v>
      </c>
      <c r="D12" s="9" t="s">
        <v>50</v>
      </c>
      <c r="E12" s="9" t="s">
        <v>51</v>
      </c>
      <c r="F12" s="11" t="n">
        <v>1</v>
      </c>
      <c r="G12" s="11" t="n">
        <v>1</v>
      </c>
      <c r="H12" s="12" t="n">
        <f aca="false">F12+G12</f>
        <v>2</v>
      </c>
      <c r="I12" s="13" t="n">
        <v>150</v>
      </c>
      <c r="J12" s="14" t="n">
        <f aca="false">H12*I12</f>
        <v>300</v>
      </c>
      <c r="K12" s="10" t="s">
        <v>52</v>
      </c>
    </row>
    <row r="13" customFormat="false" ht="15" hidden="false" customHeight="false" outlineLevel="0" collapsed="false">
      <c r="A13" s="15" t="s">
        <v>53</v>
      </c>
      <c r="B13" s="15"/>
      <c r="C13" s="15" t="s">
        <v>54</v>
      </c>
      <c r="D13" s="15"/>
      <c r="E13" s="15"/>
      <c r="F13" s="16" t="n">
        <f aca="false">SUM(F5:F12)</f>
        <v>18</v>
      </c>
      <c r="G13" s="16" t="n">
        <f aca="false">SUM(G5:G12)</f>
        <v>22</v>
      </c>
      <c r="H13" s="16" t="n">
        <f aca="false">SUM(H5:H12)</f>
        <v>40</v>
      </c>
      <c r="I13" s="15"/>
      <c r="J13" s="17" t="n">
        <f aca="false">SUM(J5:J12)</f>
        <v>429.5</v>
      </c>
      <c r="K13" s="15"/>
    </row>
    <row r="15" customFormat="false" ht="15" hidden="false" customHeight="false" outlineLevel="0" collapsed="false">
      <c r="A15" s="8" t="s">
        <v>55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18" t="s">
        <v>56</v>
      </c>
      <c r="B16" s="18"/>
      <c r="C16" s="19" t="s">
        <v>57</v>
      </c>
      <c r="D16" s="18" t="s">
        <v>58</v>
      </c>
      <c r="E16" s="18" t="s">
        <v>59</v>
      </c>
      <c r="F16" s="20" t="n">
        <v>1</v>
      </c>
      <c r="G16" s="20" t="n">
        <v>0</v>
      </c>
      <c r="H16" s="21" t="n">
        <f aca="false">F16+G16</f>
        <v>1</v>
      </c>
      <c r="I16" s="22" t="n">
        <v>2150</v>
      </c>
      <c r="J16" s="23" t="n">
        <f aca="false">H16*I16</f>
        <v>2150</v>
      </c>
      <c r="K16" s="19" t="s">
        <v>60</v>
      </c>
    </row>
    <row r="17" customFormat="false" ht="15" hidden="false" customHeight="false" outlineLevel="0" collapsed="false">
      <c r="A17" s="18" t="s">
        <v>61</v>
      </c>
      <c r="B17" s="18"/>
      <c r="C17" s="19" t="s">
        <v>62</v>
      </c>
      <c r="D17" s="18" t="s">
        <v>63</v>
      </c>
      <c r="E17" s="18" t="s">
        <v>64</v>
      </c>
      <c r="F17" s="20" t="n">
        <v>1</v>
      </c>
      <c r="G17" s="20" t="n">
        <v>0</v>
      </c>
      <c r="H17" s="21" t="n">
        <f aca="false">F17+G17</f>
        <v>1</v>
      </c>
      <c r="I17" s="22" t="n">
        <v>35</v>
      </c>
      <c r="J17" s="23" t="n">
        <f aca="false">H17*I17</f>
        <v>35</v>
      </c>
      <c r="K17" s="19" t="s">
        <v>65</v>
      </c>
    </row>
    <row r="18" customFormat="false" ht="15" hidden="false" customHeight="false" outlineLevel="0" collapsed="false">
      <c r="A18" s="18" t="s">
        <v>66</v>
      </c>
      <c r="B18" s="18"/>
      <c r="C18" s="19" t="s">
        <v>67</v>
      </c>
      <c r="D18" s="18" t="s">
        <v>68</v>
      </c>
      <c r="E18" s="18" t="s">
        <v>69</v>
      </c>
      <c r="F18" s="20" t="n">
        <v>1</v>
      </c>
      <c r="G18" s="20" t="n">
        <v>0</v>
      </c>
      <c r="H18" s="21" t="n">
        <f aca="false">F18+G18</f>
        <v>1</v>
      </c>
      <c r="I18" s="22" t="n">
        <v>18</v>
      </c>
      <c r="J18" s="23" t="n">
        <f aca="false">H18*I18</f>
        <v>18</v>
      </c>
      <c r="K18" s="19" t="s">
        <v>70</v>
      </c>
    </row>
    <row r="19" customFormat="false" ht="15" hidden="false" customHeight="false" outlineLevel="0" collapsed="false">
      <c r="A19" s="18" t="s">
        <v>71</v>
      </c>
      <c r="B19" s="18"/>
      <c r="C19" s="19" t="s">
        <v>72</v>
      </c>
      <c r="D19" s="18" t="s">
        <v>73</v>
      </c>
      <c r="E19" s="18" t="s">
        <v>21</v>
      </c>
      <c r="F19" s="20" t="n">
        <v>2</v>
      </c>
      <c r="G19" s="20" t="n">
        <v>0</v>
      </c>
      <c r="H19" s="21" t="n">
        <f aca="false">F19+G19</f>
        <v>2</v>
      </c>
      <c r="I19" s="22" t="n">
        <v>1.5</v>
      </c>
      <c r="J19" s="23" t="n">
        <f aca="false">H19*I19</f>
        <v>3</v>
      </c>
      <c r="K19" s="19" t="s">
        <v>22</v>
      </c>
    </row>
    <row r="20" customFormat="false" ht="15" hidden="false" customHeight="false" outlineLevel="0" collapsed="false">
      <c r="A20" s="18" t="s">
        <v>74</v>
      </c>
      <c r="B20" s="18"/>
      <c r="C20" s="19" t="s">
        <v>75</v>
      </c>
      <c r="D20" s="18" t="s">
        <v>76</v>
      </c>
      <c r="E20" s="18" t="n">
        <v>1812</v>
      </c>
      <c r="F20" s="20" t="n">
        <v>1</v>
      </c>
      <c r="G20" s="20" t="n">
        <v>0</v>
      </c>
      <c r="H20" s="21" t="n">
        <f aca="false">F20+G20</f>
        <v>1</v>
      </c>
      <c r="I20" s="22" t="n">
        <v>16</v>
      </c>
      <c r="J20" s="23" t="n">
        <f aca="false">H20*I20</f>
        <v>16</v>
      </c>
      <c r="K20" s="19" t="s">
        <v>77</v>
      </c>
    </row>
    <row r="21" customFormat="false" ht="23.85" hidden="false" customHeight="false" outlineLevel="0" collapsed="false">
      <c r="A21" s="18" t="s">
        <v>78</v>
      </c>
      <c r="B21" s="18"/>
      <c r="C21" s="19" t="s">
        <v>79</v>
      </c>
      <c r="D21" s="18" t="s">
        <v>80</v>
      </c>
      <c r="E21" s="18" t="s">
        <v>81</v>
      </c>
      <c r="F21" s="20" t="n">
        <v>1</v>
      </c>
      <c r="G21" s="20" t="n">
        <v>0</v>
      </c>
      <c r="H21" s="21" t="n">
        <f aca="false">F21+G21</f>
        <v>1</v>
      </c>
      <c r="I21" s="22" t="n">
        <v>6</v>
      </c>
      <c r="J21" s="23" t="n">
        <f aca="false">H21*I21</f>
        <v>6</v>
      </c>
      <c r="K21" s="19" t="s">
        <v>82</v>
      </c>
    </row>
    <row r="22" customFormat="false" ht="15" hidden="false" customHeight="false" outlineLevel="0" collapsed="false">
      <c r="A22" s="18" t="s">
        <v>83</v>
      </c>
      <c r="B22" s="18"/>
      <c r="C22" s="19" t="s">
        <v>84</v>
      </c>
      <c r="D22" s="18" t="s">
        <v>85</v>
      </c>
      <c r="E22" s="18" t="s">
        <v>86</v>
      </c>
      <c r="F22" s="20" t="n">
        <v>1</v>
      </c>
      <c r="G22" s="20" t="n">
        <v>0</v>
      </c>
      <c r="H22" s="21" t="n">
        <f aca="false">F22+G22</f>
        <v>1</v>
      </c>
      <c r="I22" s="22" t="n">
        <v>12</v>
      </c>
      <c r="J22" s="23" t="n">
        <f aca="false">H22*I22</f>
        <v>12</v>
      </c>
      <c r="K22" s="19" t="s">
        <v>77</v>
      </c>
    </row>
    <row r="23" customFormat="false" ht="15" hidden="false" customHeight="false" outlineLevel="0" collapsed="false">
      <c r="A23" s="18" t="s">
        <v>87</v>
      </c>
      <c r="B23" s="18"/>
      <c r="C23" s="19" t="s">
        <v>88</v>
      </c>
      <c r="D23" s="18" t="s">
        <v>89</v>
      </c>
      <c r="E23" s="18" t="s">
        <v>90</v>
      </c>
      <c r="F23" s="20" t="n">
        <v>1</v>
      </c>
      <c r="G23" s="20" t="n">
        <v>0</v>
      </c>
      <c r="H23" s="21" t="n">
        <f aca="false">F23+G23</f>
        <v>1</v>
      </c>
      <c r="I23" s="22" t="n">
        <v>24</v>
      </c>
      <c r="J23" s="23" t="n">
        <f aca="false">H23*I23</f>
        <v>24</v>
      </c>
      <c r="K23" s="19" t="s">
        <v>91</v>
      </c>
    </row>
    <row r="24" customFormat="false" ht="15" hidden="false" customHeight="false" outlineLevel="0" collapsed="false">
      <c r="A24" s="18" t="s">
        <v>92</v>
      </c>
      <c r="B24" s="18"/>
      <c r="C24" s="19" t="s">
        <v>93</v>
      </c>
      <c r="D24" s="18" t="s">
        <v>94</v>
      </c>
      <c r="E24" s="18" t="n">
        <v>1206</v>
      </c>
      <c r="F24" s="20" t="n">
        <v>1</v>
      </c>
      <c r="G24" s="20" t="n">
        <v>0</v>
      </c>
      <c r="H24" s="21" t="n">
        <f aca="false">F24+G24</f>
        <v>1</v>
      </c>
      <c r="I24" s="22" t="n">
        <v>9</v>
      </c>
      <c r="J24" s="23" t="n">
        <f aca="false">H24*I24</f>
        <v>9</v>
      </c>
      <c r="K24" s="19" t="s">
        <v>77</v>
      </c>
    </row>
    <row r="25" customFormat="false" ht="15" hidden="false" customHeight="false" outlineLevel="0" collapsed="false">
      <c r="A25" s="18" t="s">
        <v>95</v>
      </c>
      <c r="B25" s="18"/>
      <c r="C25" s="19" t="s">
        <v>96</v>
      </c>
      <c r="D25" s="18" t="s">
        <v>97</v>
      </c>
      <c r="E25" s="18" t="s">
        <v>98</v>
      </c>
      <c r="F25" s="20" t="n">
        <v>1</v>
      </c>
      <c r="G25" s="20" t="n">
        <v>0</v>
      </c>
      <c r="H25" s="21" t="n">
        <f aca="false">F25+G25</f>
        <v>1</v>
      </c>
      <c r="I25" s="22" t="n">
        <v>14</v>
      </c>
      <c r="J25" s="23" t="n">
        <f aca="false">H25*I25</f>
        <v>14</v>
      </c>
      <c r="K25" s="19" t="s">
        <v>99</v>
      </c>
    </row>
    <row r="26" customFormat="false" ht="23.85" hidden="false" customHeight="false" outlineLevel="0" collapsed="false">
      <c r="A26" s="18" t="s">
        <v>100</v>
      </c>
      <c r="B26" s="18"/>
      <c r="C26" s="19" t="s">
        <v>101</v>
      </c>
      <c r="D26" s="18" t="s">
        <v>102</v>
      </c>
      <c r="E26" s="18" t="s">
        <v>103</v>
      </c>
      <c r="F26" s="20" t="n">
        <v>1</v>
      </c>
      <c r="G26" s="20" t="n">
        <v>0</v>
      </c>
      <c r="H26" s="21" t="n">
        <f aca="false">F26+G26</f>
        <v>1</v>
      </c>
      <c r="I26" s="22" t="n">
        <v>5</v>
      </c>
      <c r="J26" s="23" t="n">
        <f aca="false">H26*I26</f>
        <v>5</v>
      </c>
      <c r="K26" s="19" t="s">
        <v>22</v>
      </c>
    </row>
    <row r="27" customFormat="false" ht="23.85" hidden="false" customHeight="false" outlineLevel="0" collapsed="false">
      <c r="A27" s="18" t="s">
        <v>104</v>
      </c>
      <c r="B27" s="18"/>
      <c r="C27" s="19" t="s">
        <v>105</v>
      </c>
      <c r="D27" s="18" t="s">
        <v>106</v>
      </c>
      <c r="E27" s="18" t="s">
        <v>107</v>
      </c>
      <c r="F27" s="20" t="n">
        <v>1</v>
      </c>
      <c r="G27" s="20" t="n">
        <v>0</v>
      </c>
      <c r="H27" s="21" t="n">
        <f aca="false">F27+G27</f>
        <v>1</v>
      </c>
      <c r="I27" s="22" t="n">
        <v>8</v>
      </c>
      <c r="J27" s="23" t="n">
        <f aca="false">H27*I27</f>
        <v>8</v>
      </c>
      <c r="K27" s="19" t="s">
        <v>108</v>
      </c>
    </row>
    <row r="28" customFormat="false" ht="15" hidden="false" customHeight="false" outlineLevel="0" collapsed="false">
      <c r="A28" s="18" t="s">
        <v>109</v>
      </c>
      <c r="B28" s="18"/>
      <c r="C28" s="19" t="s">
        <v>110</v>
      </c>
      <c r="D28" s="18" t="s">
        <v>111</v>
      </c>
      <c r="E28" s="18" t="s">
        <v>112</v>
      </c>
      <c r="F28" s="20" t="n">
        <v>1</v>
      </c>
      <c r="G28" s="20" t="n">
        <v>0</v>
      </c>
      <c r="H28" s="21" t="n">
        <f aca="false">F28+G28</f>
        <v>1</v>
      </c>
      <c r="I28" s="22" t="n">
        <v>79</v>
      </c>
      <c r="J28" s="23" t="n">
        <f aca="false">H28*I28</f>
        <v>79</v>
      </c>
      <c r="K28" s="19" t="s">
        <v>113</v>
      </c>
    </row>
    <row r="29" customFormat="false" ht="15" hidden="false" customHeight="false" outlineLevel="0" collapsed="false">
      <c r="A29" s="18" t="s">
        <v>114</v>
      </c>
      <c r="B29" s="18"/>
      <c r="C29" s="19" t="s">
        <v>115</v>
      </c>
      <c r="D29" s="18" t="s">
        <v>116</v>
      </c>
      <c r="E29" s="18" t="s">
        <v>117</v>
      </c>
      <c r="F29" s="20" t="n">
        <v>1</v>
      </c>
      <c r="G29" s="20" t="n">
        <v>0</v>
      </c>
      <c r="H29" s="21" t="n">
        <f aca="false">F29+G29</f>
        <v>1</v>
      </c>
      <c r="I29" s="22" t="n">
        <v>125</v>
      </c>
      <c r="J29" s="23" t="n">
        <f aca="false">H29*I29</f>
        <v>125</v>
      </c>
      <c r="K29" s="19" t="s">
        <v>118</v>
      </c>
    </row>
    <row r="30" customFormat="false" ht="23.85" hidden="false" customHeight="false" outlineLevel="0" collapsed="false">
      <c r="A30" s="18" t="s">
        <v>119</v>
      </c>
      <c r="B30" s="18"/>
      <c r="C30" s="19" t="s">
        <v>120</v>
      </c>
      <c r="D30" s="18" t="s">
        <v>121</v>
      </c>
      <c r="E30" s="18" t="s">
        <v>21</v>
      </c>
      <c r="F30" s="20" t="n">
        <v>1</v>
      </c>
      <c r="G30" s="20" t="n">
        <v>0</v>
      </c>
      <c r="H30" s="21" t="n">
        <f aca="false">F30+G30</f>
        <v>1</v>
      </c>
      <c r="I30" s="22" t="n">
        <v>1.5</v>
      </c>
      <c r="J30" s="23" t="n">
        <f aca="false">H30*I30</f>
        <v>1.5</v>
      </c>
      <c r="K30" s="19" t="s">
        <v>40</v>
      </c>
    </row>
    <row r="31" customFormat="false" ht="15" hidden="false" customHeight="false" outlineLevel="0" collapsed="false">
      <c r="A31" s="18" t="s">
        <v>122</v>
      </c>
      <c r="B31" s="18"/>
      <c r="C31" s="19" t="s">
        <v>123</v>
      </c>
      <c r="D31" s="18" t="s">
        <v>124</v>
      </c>
      <c r="E31" s="18" t="s">
        <v>21</v>
      </c>
      <c r="F31" s="20" t="n">
        <v>2</v>
      </c>
      <c r="G31" s="20" t="n">
        <v>0</v>
      </c>
      <c r="H31" s="21" t="n">
        <f aca="false">F31+G31</f>
        <v>2</v>
      </c>
      <c r="I31" s="22" t="n">
        <v>6</v>
      </c>
      <c r="J31" s="23" t="n">
        <f aca="false">H31*I31</f>
        <v>12</v>
      </c>
      <c r="K31" s="19" t="s">
        <v>125</v>
      </c>
    </row>
    <row r="32" customFormat="false" ht="15" hidden="false" customHeight="false" outlineLevel="0" collapsed="false">
      <c r="A32" s="18" t="s">
        <v>126</v>
      </c>
      <c r="B32" s="18"/>
      <c r="C32" s="19" t="s">
        <v>127</v>
      </c>
      <c r="D32" s="18" t="s">
        <v>128</v>
      </c>
      <c r="E32" s="18" t="s">
        <v>21</v>
      </c>
      <c r="F32" s="20" t="n">
        <v>2</v>
      </c>
      <c r="G32" s="20" t="n">
        <v>0</v>
      </c>
      <c r="H32" s="21" t="n">
        <f aca="false">F32+G32</f>
        <v>2</v>
      </c>
      <c r="I32" s="22" t="n">
        <v>2</v>
      </c>
      <c r="J32" s="23" t="n">
        <f aca="false">H32*I32</f>
        <v>4</v>
      </c>
      <c r="K32" s="19" t="s">
        <v>40</v>
      </c>
    </row>
    <row r="33" customFormat="false" ht="15" hidden="false" customHeight="false" outlineLevel="0" collapsed="false">
      <c r="A33" s="18" t="s">
        <v>129</v>
      </c>
      <c r="B33" s="18"/>
      <c r="C33" s="19" t="s">
        <v>130</v>
      </c>
      <c r="D33" s="18" t="s">
        <v>131</v>
      </c>
      <c r="E33" s="18" t="s">
        <v>31</v>
      </c>
      <c r="F33" s="20" t="n">
        <v>1</v>
      </c>
      <c r="G33" s="20" t="n">
        <v>0</v>
      </c>
      <c r="H33" s="21" t="n">
        <f aca="false">F33+G33</f>
        <v>1</v>
      </c>
      <c r="I33" s="22" t="n">
        <v>7</v>
      </c>
      <c r="J33" s="23" t="n">
        <f aca="false">H33*I33</f>
        <v>7</v>
      </c>
      <c r="K33" s="19" t="s">
        <v>32</v>
      </c>
    </row>
    <row r="34" customFormat="false" ht="15" hidden="false" customHeight="false" outlineLevel="0" collapsed="false">
      <c r="A34" s="18" t="s">
        <v>132</v>
      </c>
      <c r="B34" s="18"/>
      <c r="C34" s="19" t="s">
        <v>133</v>
      </c>
      <c r="D34" s="18" t="s">
        <v>134</v>
      </c>
      <c r="E34" s="18" t="s">
        <v>135</v>
      </c>
      <c r="F34" s="20" t="n">
        <v>1</v>
      </c>
      <c r="G34" s="20" t="n">
        <v>0</v>
      </c>
      <c r="H34" s="21" t="n">
        <f aca="false">F34+G34</f>
        <v>1</v>
      </c>
      <c r="I34" s="22" t="n">
        <v>27</v>
      </c>
      <c r="J34" s="23" t="n">
        <f aca="false">H34*I34</f>
        <v>27</v>
      </c>
      <c r="K34" s="19" t="s">
        <v>113</v>
      </c>
    </row>
    <row r="35" customFormat="false" ht="23.85" hidden="false" customHeight="false" outlineLevel="0" collapsed="false">
      <c r="A35" s="18" t="s">
        <v>136</v>
      </c>
      <c r="B35" s="18"/>
      <c r="C35" s="19" t="s">
        <v>137</v>
      </c>
      <c r="D35" s="18" t="s">
        <v>138</v>
      </c>
      <c r="E35" s="18" t="s">
        <v>139</v>
      </c>
      <c r="F35" s="20" t="n">
        <v>1</v>
      </c>
      <c r="G35" s="20" t="n">
        <v>0</v>
      </c>
      <c r="H35" s="21" t="n">
        <f aca="false">F35+G35</f>
        <v>1</v>
      </c>
      <c r="I35" s="22" t="n">
        <v>35</v>
      </c>
      <c r="J35" s="23" t="n">
        <f aca="false">H35*I35</f>
        <v>35</v>
      </c>
      <c r="K35" s="19" t="s">
        <v>140</v>
      </c>
    </row>
    <row r="36" customFormat="false" ht="15" hidden="false" customHeight="false" outlineLevel="0" collapsed="false">
      <c r="A36" s="18" t="s">
        <v>141</v>
      </c>
      <c r="B36" s="18"/>
      <c r="C36" s="19" t="s">
        <v>142</v>
      </c>
      <c r="D36" s="18" t="s">
        <v>143</v>
      </c>
      <c r="E36" s="18" t="s">
        <v>144</v>
      </c>
      <c r="F36" s="20" t="n">
        <v>8</v>
      </c>
      <c r="G36" s="20" t="n">
        <v>0</v>
      </c>
      <c r="H36" s="21" t="n">
        <f aca="false">F36+G36</f>
        <v>8</v>
      </c>
      <c r="I36" s="22" t="n">
        <v>0</v>
      </c>
      <c r="J36" s="23" t="n">
        <f aca="false">H36*I36</f>
        <v>0</v>
      </c>
      <c r="K36" s="19" t="s">
        <v>145</v>
      </c>
    </row>
    <row r="37" customFormat="false" ht="23.85" hidden="false" customHeight="false" outlineLevel="0" collapsed="false">
      <c r="A37" s="18" t="s">
        <v>146</v>
      </c>
      <c r="B37" s="18"/>
      <c r="C37" s="19" t="s">
        <v>147</v>
      </c>
      <c r="D37" s="18" t="s">
        <v>148</v>
      </c>
      <c r="E37" s="18" t="s">
        <v>149</v>
      </c>
      <c r="F37" s="20" t="n">
        <v>2</v>
      </c>
      <c r="G37" s="20" t="n">
        <v>0</v>
      </c>
      <c r="H37" s="21" t="n">
        <f aca="false">F37+G37</f>
        <v>2</v>
      </c>
      <c r="I37" s="22" t="n">
        <v>90</v>
      </c>
      <c r="J37" s="23" t="n">
        <f aca="false">H37*I37</f>
        <v>180</v>
      </c>
      <c r="K37" s="19" t="s">
        <v>150</v>
      </c>
    </row>
    <row r="38" customFormat="false" ht="15" hidden="false" customHeight="false" outlineLevel="0" collapsed="false">
      <c r="A38" s="18" t="s">
        <v>151</v>
      </c>
      <c r="B38" s="18"/>
      <c r="C38" s="19" t="s">
        <v>152</v>
      </c>
      <c r="D38" s="18" t="s">
        <v>153</v>
      </c>
      <c r="E38" s="18" t="s">
        <v>154</v>
      </c>
      <c r="F38" s="20" t="n">
        <v>1</v>
      </c>
      <c r="G38" s="20" t="n">
        <v>0</v>
      </c>
      <c r="H38" s="21" t="n">
        <f aca="false">F38+G38</f>
        <v>1</v>
      </c>
      <c r="I38" s="22" t="n">
        <v>680</v>
      </c>
      <c r="J38" s="23" t="n">
        <f aca="false">H38*I38</f>
        <v>680</v>
      </c>
      <c r="K38" s="19" t="s">
        <v>113</v>
      </c>
    </row>
    <row r="39" customFormat="false" ht="15" hidden="false" customHeight="false" outlineLevel="0" collapsed="false">
      <c r="A39" s="18" t="s">
        <v>155</v>
      </c>
      <c r="B39" s="18" t="s">
        <v>155</v>
      </c>
      <c r="C39" s="19" t="s">
        <v>156</v>
      </c>
      <c r="D39" s="18"/>
      <c r="E39" s="18"/>
      <c r="F39" s="20" t="n">
        <v>1</v>
      </c>
      <c r="G39" s="20" t="n">
        <v>0</v>
      </c>
      <c r="H39" s="21" t="n">
        <f aca="false">F39+G39</f>
        <v>1</v>
      </c>
      <c r="I39" s="22" t="n">
        <v>58</v>
      </c>
      <c r="J39" s="23" t="n">
        <f aca="false">H39*I39</f>
        <v>58</v>
      </c>
      <c r="K39" s="19"/>
    </row>
    <row r="40" customFormat="false" ht="15" hidden="false" customHeight="false" outlineLevel="0" collapsed="false">
      <c r="A40" s="15" t="s">
        <v>53</v>
      </c>
      <c r="B40" s="15"/>
      <c r="C40" s="15" t="s">
        <v>157</v>
      </c>
      <c r="D40" s="15"/>
      <c r="E40" s="15"/>
      <c r="F40" s="16" t="n">
        <f aca="false">SUM(F16:F39)</f>
        <v>35</v>
      </c>
      <c r="G40" s="16" t="n">
        <f aca="false">SUM(G16:G39)</f>
        <v>0</v>
      </c>
      <c r="H40" s="16" t="n">
        <f aca="false">SUM(H16:H39)</f>
        <v>35</v>
      </c>
      <c r="I40" s="15"/>
      <c r="J40" s="17" t="n">
        <f aca="false">SUM(J16:J39)</f>
        <v>3508.5</v>
      </c>
      <c r="K40" s="15"/>
    </row>
    <row r="42" customFormat="false" ht="15" hidden="false" customHeight="false" outlineLevel="0" collapsed="false">
      <c r="A42" s="8" t="s">
        <v>158</v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false" outlineLevel="0" collapsed="false">
      <c r="A43" s="18"/>
      <c r="B43" s="18" t="s">
        <v>56</v>
      </c>
      <c r="C43" s="19" t="s">
        <v>159</v>
      </c>
      <c r="D43" s="18" t="s">
        <v>160</v>
      </c>
      <c r="E43" s="18" t="s">
        <v>161</v>
      </c>
      <c r="F43" s="20" t="n">
        <v>0</v>
      </c>
      <c r="G43" s="20" t="n">
        <v>1</v>
      </c>
      <c r="H43" s="21" t="n">
        <f aca="false">F43+G43</f>
        <v>1</v>
      </c>
      <c r="I43" s="22" t="n">
        <v>399</v>
      </c>
      <c r="J43" s="23" t="n">
        <f aca="false">H43*I43</f>
        <v>399</v>
      </c>
      <c r="K43" s="19" t="s">
        <v>162</v>
      </c>
    </row>
    <row r="44" customFormat="false" ht="15" hidden="false" customHeight="false" outlineLevel="0" collapsed="false">
      <c r="A44" s="18"/>
      <c r="B44" s="18" t="s">
        <v>163</v>
      </c>
      <c r="C44" s="19" t="s">
        <v>164</v>
      </c>
      <c r="D44" s="18" t="s">
        <v>165</v>
      </c>
      <c r="E44" s="18" t="s">
        <v>166</v>
      </c>
      <c r="F44" s="20" t="n">
        <v>0</v>
      </c>
      <c r="G44" s="20" t="n">
        <v>1</v>
      </c>
      <c r="H44" s="21" t="n">
        <f aca="false">F44+G44</f>
        <v>1</v>
      </c>
      <c r="I44" s="22" t="n">
        <v>6.5</v>
      </c>
      <c r="J44" s="23" t="n">
        <f aca="false">H44*I44</f>
        <v>6.5</v>
      </c>
      <c r="K44" s="19" t="s">
        <v>167</v>
      </c>
    </row>
    <row r="45" customFormat="false" ht="15" hidden="false" customHeight="false" outlineLevel="0" collapsed="false">
      <c r="A45" s="18"/>
      <c r="B45" s="18" t="s">
        <v>168</v>
      </c>
      <c r="C45" s="19" t="s">
        <v>169</v>
      </c>
      <c r="D45" s="18" t="s">
        <v>170</v>
      </c>
      <c r="E45" s="18" t="s">
        <v>171</v>
      </c>
      <c r="F45" s="20" t="n">
        <v>0</v>
      </c>
      <c r="G45" s="20" t="n">
        <v>1</v>
      </c>
      <c r="H45" s="21" t="n">
        <f aca="false">F45+G45</f>
        <v>1</v>
      </c>
      <c r="I45" s="22" t="n">
        <v>6</v>
      </c>
      <c r="J45" s="23" t="n">
        <f aca="false">H45*I45</f>
        <v>6</v>
      </c>
      <c r="K45" s="19" t="s">
        <v>172</v>
      </c>
    </row>
    <row r="46" customFormat="false" ht="15" hidden="false" customHeight="false" outlineLevel="0" collapsed="false">
      <c r="A46" s="18"/>
      <c r="B46" s="18" t="s">
        <v>173</v>
      </c>
      <c r="C46" s="19" t="s">
        <v>174</v>
      </c>
      <c r="D46" s="18" t="s">
        <v>175</v>
      </c>
      <c r="E46" s="18" t="s">
        <v>176</v>
      </c>
      <c r="F46" s="20" t="n">
        <v>0</v>
      </c>
      <c r="G46" s="20" t="n">
        <v>1</v>
      </c>
      <c r="H46" s="21" t="n">
        <f aca="false">F46+G46</f>
        <v>1</v>
      </c>
      <c r="I46" s="22" t="n">
        <v>22</v>
      </c>
      <c r="J46" s="23" t="n">
        <f aca="false">H46*I46</f>
        <v>22</v>
      </c>
      <c r="K46" s="19" t="s">
        <v>177</v>
      </c>
    </row>
    <row r="47" customFormat="false" ht="15" hidden="false" customHeight="false" outlineLevel="0" collapsed="false">
      <c r="A47" s="18"/>
      <c r="B47" s="18" t="s">
        <v>178</v>
      </c>
      <c r="C47" s="19" t="s">
        <v>179</v>
      </c>
      <c r="D47" s="18" t="s">
        <v>180</v>
      </c>
      <c r="E47" s="18" t="s">
        <v>181</v>
      </c>
      <c r="F47" s="20" t="n">
        <v>0</v>
      </c>
      <c r="G47" s="20" t="n">
        <v>1</v>
      </c>
      <c r="H47" s="21" t="n">
        <f aca="false">F47+G47</f>
        <v>1</v>
      </c>
      <c r="I47" s="22" t="n">
        <v>260</v>
      </c>
      <c r="J47" s="23" t="n">
        <f aca="false">H47*I47</f>
        <v>260</v>
      </c>
      <c r="K47" s="19" t="s">
        <v>182</v>
      </c>
    </row>
    <row r="48" customFormat="false" ht="15" hidden="false" customHeight="false" outlineLevel="0" collapsed="false">
      <c r="A48" s="18"/>
      <c r="B48" s="18" t="s">
        <v>183</v>
      </c>
      <c r="C48" s="19" t="s">
        <v>184</v>
      </c>
      <c r="D48" s="18" t="s">
        <v>185</v>
      </c>
      <c r="E48" s="18" t="s">
        <v>21</v>
      </c>
      <c r="F48" s="20" t="n">
        <v>0</v>
      </c>
      <c r="G48" s="20" t="n">
        <v>2</v>
      </c>
      <c r="H48" s="21" t="n">
        <f aca="false">F48+G48</f>
        <v>2</v>
      </c>
      <c r="I48" s="22" t="n">
        <v>1.5</v>
      </c>
      <c r="J48" s="23" t="n">
        <f aca="false">H48*I48</f>
        <v>3</v>
      </c>
      <c r="K48" s="19" t="s">
        <v>40</v>
      </c>
    </row>
    <row r="49" customFormat="false" ht="15" hidden="false" customHeight="false" outlineLevel="0" collapsed="false">
      <c r="A49" s="18"/>
      <c r="B49" s="18" t="s">
        <v>186</v>
      </c>
      <c r="C49" s="19" t="s">
        <v>187</v>
      </c>
      <c r="D49" s="18" t="s">
        <v>188</v>
      </c>
      <c r="E49" s="18" t="s">
        <v>176</v>
      </c>
      <c r="F49" s="20" t="n">
        <v>0</v>
      </c>
      <c r="G49" s="20" t="n">
        <v>1</v>
      </c>
      <c r="H49" s="21" t="n">
        <f aca="false">F49+G49</f>
        <v>1</v>
      </c>
      <c r="I49" s="22" t="n">
        <v>15</v>
      </c>
      <c r="J49" s="23" t="n">
        <f aca="false">H49*I49</f>
        <v>15</v>
      </c>
      <c r="K49" s="19" t="s">
        <v>150</v>
      </c>
    </row>
    <row r="50" customFormat="false" ht="15" hidden="false" customHeight="false" outlineLevel="0" collapsed="false">
      <c r="A50" s="18"/>
      <c r="B50" s="18" t="s">
        <v>189</v>
      </c>
      <c r="C50" s="19" t="s">
        <v>190</v>
      </c>
      <c r="D50" s="18" t="s">
        <v>191</v>
      </c>
      <c r="E50" s="18" t="s">
        <v>192</v>
      </c>
      <c r="F50" s="20" t="n">
        <v>0</v>
      </c>
      <c r="G50" s="20" t="n">
        <v>1</v>
      </c>
      <c r="H50" s="21" t="n">
        <f aca="false">F50+G50</f>
        <v>1</v>
      </c>
      <c r="I50" s="22" t="n">
        <v>380</v>
      </c>
      <c r="J50" s="23" t="n">
        <f aca="false">H50*I50</f>
        <v>380</v>
      </c>
      <c r="K50" s="19" t="s">
        <v>193</v>
      </c>
    </row>
    <row r="51" customFormat="false" ht="15" hidden="false" customHeight="false" outlineLevel="0" collapsed="false">
      <c r="A51" s="18"/>
      <c r="B51" s="18" t="s">
        <v>194</v>
      </c>
      <c r="C51" s="19" t="s">
        <v>195</v>
      </c>
      <c r="D51" s="18" t="s">
        <v>196</v>
      </c>
      <c r="E51" s="18" t="s">
        <v>197</v>
      </c>
      <c r="F51" s="20" t="n">
        <v>0</v>
      </c>
      <c r="G51" s="20" t="n">
        <v>1</v>
      </c>
      <c r="H51" s="21" t="n">
        <f aca="false">F51+G51</f>
        <v>1</v>
      </c>
      <c r="I51" s="22" t="n">
        <v>2</v>
      </c>
      <c r="J51" s="23" t="n">
        <f aca="false">H51*I51</f>
        <v>2</v>
      </c>
      <c r="K51" s="19" t="s">
        <v>40</v>
      </c>
    </row>
    <row r="52" customFormat="false" ht="15" hidden="false" customHeight="false" outlineLevel="0" collapsed="false">
      <c r="A52" s="18"/>
      <c r="B52" s="18" t="s">
        <v>198</v>
      </c>
      <c r="C52" s="19" t="s">
        <v>199</v>
      </c>
      <c r="D52" s="18" t="s">
        <v>200</v>
      </c>
      <c r="E52" s="18" t="s">
        <v>201</v>
      </c>
      <c r="F52" s="20" t="n">
        <v>0</v>
      </c>
      <c r="G52" s="20" t="n">
        <v>4</v>
      </c>
      <c r="H52" s="21" t="n">
        <f aca="false">F52+G52</f>
        <v>4</v>
      </c>
      <c r="I52" s="22" t="n">
        <v>0</v>
      </c>
      <c r="J52" s="23" t="n">
        <f aca="false">H52*I52</f>
        <v>0</v>
      </c>
      <c r="K52" s="19" t="s">
        <v>145</v>
      </c>
    </row>
    <row r="53" customFormat="false" ht="15" hidden="false" customHeight="false" outlineLevel="0" collapsed="false">
      <c r="A53" s="18"/>
      <c r="B53" s="18" t="s">
        <v>202</v>
      </c>
      <c r="C53" s="19" t="s">
        <v>203</v>
      </c>
      <c r="D53" s="18" t="s">
        <v>204</v>
      </c>
      <c r="E53" s="18" t="s">
        <v>205</v>
      </c>
      <c r="F53" s="20" t="n">
        <v>0</v>
      </c>
      <c r="G53" s="20" t="n">
        <v>4</v>
      </c>
      <c r="H53" s="21" t="n">
        <f aca="false">F53+G53</f>
        <v>4</v>
      </c>
      <c r="I53" s="22" t="n">
        <v>18</v>
      </c>
      <c r="J53" s="23" t="n">
        <f aca="false">H53*I53</f>
        <v>72</v>
      </c>
      <c r="K53" s="19" t="s">
        <v>206</v>
      </c>
    </row>
    <row r="54" customFormat="false" ht="15" hidden="false" customHeight="false" outlineLevel="0" collapsed="false">
      <c r="A54" s="18"/>
      <c r="B54" s="18" t="s">
        <v>104</v>
      </c>
      <c r="C54" s="19" t="s">
        <v>207</v>
      </c>
      <c r="D54" s="18" t="s">
        <v>208</v>
      </c>
      <c r="E54" s="18" t="s">
        <v>209</v>
      </c>
      <c r="F54" s="20" t="n">
        <v>0</v>
      </c>
      <c r="G54" s="20" t="n">
        <v>1</v>
      </c>
      <c r="H54" s="21" t="n">
        <f aca="false">F54+G54</f>
        <v>1</v>
      </c>
      <c r="I54" s="22" t="n">
        <v>2</v>
      </c>
      <c r="J54" s="23" t="n">
        <f aca="false">H54*I54</f>
        <v>2</v>
      </c>
      <c r="K54" s="19" t="s">
        <v>167</v>
      </c>
    </row>
    <row r="55" customFormat="false" ht="15" hidden="false" customHeight="false" outlineLevel="0" collapsed="false">
      <c r="A55" s="18"/>
      <c r="B55" s="18" t="s">
        <v>210</v>
      </c>
      <c r="C55" s="19" t="s">
        <v>211</v>
      </c>
      <c r="D55" s="18" t="s">
        <v>212</v>
      </c>
      <c r="E55" s="18" t="s">
        <v>213</v>
      </c>
      <c r="F55" s="20" t="n">
        <v>0</v>
      </c>
      <c r="G55" s="20" t="n">
        <v>2</v>
      </c>
      <c r="H55" s="21" t="n">
        <f aca="false">F55+G55</f>
        <v>2</v>
      </c>
      <c r="I55" s="22" t="n">
        <v>120</v>
      </c>
      <c r="J55" s="23" t="n">
        <f aca="false">H55*I55</f>
        <v>240</v>
      </c>
      <c r="K55" s="19" t="s">
        <v>182</v>
      </c>
    </row>
    <row r="56" customFormat="false" ht="15" hidden="false" customHeight="false" outlineLevel="0" collapsed="false">
      <c r="A56" s="18"/>
      <c r="B56" s="18" t="s">
        <v>214</v>
      </c>
      <c r="C56" s="19" t="s">
        <v>215</v>
      </c>
      <c r="D56" s="18" t="s">
        <v>216</v>
      </c>
      <c r="E56" s="18" t="s">
        <v>217</v>
      </c>
      <c r="F56" s="20" t="n">
        <v>0</v>
      </c>
      <c r="G56" s="20" t="n">
        <v>8</v>
      </c>
      <c r="H56" s="21" t="n">
        <f aca="false">F56+G56</f>
        <v>8</v>
      </c>
      <c r="I56" s="22" t="n">
        <v>0</v>
      </c>
      <c r="J56" s="23" t="n">
        <f aca="false">H56*I56</f>
        <v>0</v>
      </c>
      <c r="K56" s="19" t="s">
        <v>218</v>
      </c>
    </row>
    <row r="57" customFormat="false" ht="15" hidden="false" customHeight="false" outlineLevel="0" collapsed="false">
      <c r="A57" s="18"/>
      <c r="B57" s="18" t="s">
        <v>219</v>
      </c>
      <c r="C57" s="19" t="s">
        <v>220</v>
      </c>
      <c r="D57" s="18" t="s">
        <v>221</v>
      </c>
      <c r="E57" s="18" t="s">
        <v>21</v>
      </c>
      <c r="F57" s="20" t="n">
        <v>0</v>
      </c>
      <c r="G57" s="20" t="n">
        <v>1</v>
      </c>
      <c r="H57" s="21" t="n">
        <f aca="false">F57+G57</f>
        <v>1</v>
      </c>
      <c r="I57" s="22" t="n">
        <v>2.5</v>
      </c>
      <c r="J57" s="23" t="n">
        <f aca="false">H57*I57</f>
        <v>2.5</v>
      </c>
      <c r="K57" s="19" t="s">
        <v>40</v>
      </c>
    </row>
    <row r="58" customFormat="false" ht="15" hidden="false" customHeight="false" outlineLevel="0" collapsed="false">
      <c r="A58" s="15" t="s">
        <v>53</v>
      </c>
      <c r="B58" s="15"/>
      <c r="C58" s="15" t="s">
        <v>222</v>
      </c>
      <c r="D58" s="15"/>
      <c r="E58" s="15"/>
      <c r="F58" s="16" t="n">
        <f aca="false">SUM(F43:F57)</f>
        <v>0</v>
      </c>
      <c r="G58" s="16" t="n">
        <f aca="false">SUM(G43:G57)</f>
        <v>30</v>
      </c>
      <c r="H58" s="16" t="n">
        <f aca="false">SUM(H43:H57)</f>
        <v>30</v>
      </c>
      <c r="I58" s="15"/>
      <c r="J58" s="17" t="n">
        <f aca="false">SUM(J43:J57)</f>
        <v>1410</v>
      </c>
      <c r="K58" s="15"/>
    </row>
    <row r="59" customFormat="false" ht="15" hidden="false" customHeight="false" outlineLevel="0" collapsed="false">
      <c r="A59" s="24" t="s">
        <v>223</v>
      </c>
      <c r="B59" s="24"/>
      <c r="C59" s="24" t="s">
        <v>224</v>
      </c>
      <c r="D59" s="24"/>
      <c r="E59" s="24"/>
      <c r="F59" s="25" t="n">
        <f aca="false">F13+F40+F58</f>
        <v>53</v>
      </c>
      <c r="G59" s="25" t="n">
        <f aca="false">G13+G40+G58</f>
        <v>52</v>
      </c>
      <c r="H59" s="25" t="n">
        <f aca="false">H13+H40+H58</f>
        <v>105</v>
      </c>
      <c r="I59" s="24"/>
      <c r="J59" s="26" t="n">
        <f aca="false">J13+J40+J58</f>
        <v>5348</v>
      </c>
      <c r="K59" s="24"/>
    </row>
    <row r="61" customFormat="false" ht="15" hidden="false" customHeight="false" outlineLevel="0" collapsed="false">
      <c r="A61" s="8" t="s">
        <v>225</v>
      </c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27" t="s">
        <v>226</v>
      </c>
      <c r="B62" s="27"/>
      <c r="C62" s="28" t="s">
        <v>227</v>
      </c>
      <c r="D62" s="27" t="s">
        <v>228</v>
      </c>
      <c r="E62" s="27" t="s">
        <v>229</v>
      </c>
      <c r="F62" s="27"/>
      <c r="G62" s="27"/>
      <c r="H62" s="29" t="n">
        <v>1</v>
      </c>
      <c r="I62" s="22" t="n">
        <v>500</v>
      </c>
      <c r="J62" s="30" t="n">
        <f aca="false">H62*I62</f>
        <v>500</v>
      </c>
      <c r="K62" s="28" t="s">
        <v>230</v>
      </c>
    </row>
    <row r="63" customFormat="false" ht="15" hidden="false" customHeight="false" outlineLevel="0" collapsed="false">
      <c r="A63" s="27" t="s">
        <v>231</v>
      </c>
      <c r="B63" s="27"/>
      <c r="C63" s="28" t="s">
        <v>232</v>
      </c>
      <c r="D63" s="27" t="s">
        <v>233</v>
      </c>
      <c r="E63" s="27" t="s">
        <v>234</v>
      </c>
      <c r="F63" s="27"/>
      <c r="G63" s="27"/>
      <c r="H63" s="29" t="n">
        <v>1</v>
      </c>
      <c r="I63" s="22" t="n">
        <v>180</v>
      </c>
      <c r="J63" s="30" t="n">
        <f aca="false">H63*I63</f>
        <v>180</v>
      </c>
      <c r="K63" s="28" t="s">
        <v>235</v>
      </c>
    </row>
    <row r="64" customFormat="false" ht="15" hidden="false" customHeight="false" outlineLevel="0" collapsed="false">
      <c r="A64" s="27" t="s">
        <v>236</v>
      </c>
      <c r="B64" s="27"/>
      <c r="C64" s="28" t="s">
        <v>237</v>
      </c>
      <c r="D64" s="27" t="s">
        <v>238</v>
      </c>
      <c r="E64" s="27" t="s">
        <v>239</v>
      </c>
      <c r="F64" s="27"/>
      <c r="G64" s="27"/>
      <c r="H64" s="29" t="n">
        <v>4</v>
      </c>
      <c r="I64" s="22" t="n">
        <v>2.25</v>
      </c>
      <c r="J64" s="30" t="n">
        <f aca="false">H64*I64</f>
        <v>9</v>
      </c>
      <c r="K64" s="28" t="s">
        <v>65</v>
      </c>
    </row>
    <row r="65" customFormat="false" ht="15" hidden="false" customHeight="false" outlineLevel="0" collapsed="false">
      <c r="A65" s="27" t="s">
        <v>240</v>
      </c>
      <c r="B65" s="27"/>
      <c r="C65" s="28" t="s">
        <v>241</v>
      </c>
      <c r="D65" s="27" t="s">
        <v>242</v>
      </c>
      <c r="E65" s="27" t="s">
        <v>243</v>
      </c>
      <c r="F65" s="27"/>
      <c r="G65" s="27"/>
      <c r="H65" s="29" t="n">
        <v>2</v>
      </c>
      <c r="I65" s="22" t="n">
        <v>2.5</v>
      </c>
      <c r="J65" s="30" t="n">
        <f aca="false">H65*I65</f>
        <v>5</v>
      </c>
      <c r="K65" s="28" t="s">
        <v>244</v>
      </c>
    </row>
    <row r="66" customFormat="false" ht="15" hidden="false" customHeight="false" outlineLevel="0" collapsed="false">
      <c r="A66" s="27" t="s">
        <v>245</v>
      </c>
      <c r="B66" s="27"/>
      <c r="C66" s="28" t="s">
        <v>246</v>
      </c>
      <c r="D66" s="27" t="s">
        <v>247</v>
      </c>
      <c r="E66" s="27" t="s">
        <v>248</v>
      </c>
      <c r="F66" s="27"/>
      <c r="G66" s="27"/>
      <c r="H66" s="29" t="n">
        <v>15</v>
      </c>
      <c r="I66" s="22" t="n">
        <v>2.25</v>
      </c>
      <c r="J66" s="30" t="n">
        <f aca="false">H66*I66</f>
        <v>33.75</v>
      </c>
      <c r="K66" s="28" t="s">
        <v>249</v>
      </c>
    </row>
    <row r="67" customFormat="false" ht="15" hidden="false" customHeight="false" outlineLevel="0" collapsed="false">
      <c r="A67" s="27" t="s">
        <v>250</v>
      </c>
      <c r="B67" s="27"/>
      <c r="C67" s="28" t="s">
        <v>251</v>
      </c>
      <c r="D67" s="27" t="s">
        <v>252</v>
      </c>
      <c r="E67" s="27" t="s">
        <v>253</v>
      </c>
      <c r="F67" s="27"/>
      <c r="G67" s="27"/>
      <c r="H67" s="29" t="n">
        <v>6</v>
      </c>
      <c r="I67" s="22" t="n">
        <v>1.5</v>
      </c>
      <c r="J67" s="30" t="n">
        <f aca="false">H67*I67</f>
        <v>9</v>
      </c>
      <c r="K67" s="28" t="s">
        <v>254</v>
      </c>
    </row>
    <row r="68" customFormat="false" ht="15" hidden="false" customHeight="false" outlineLevel="0" collapsed="false">
      <c r="A68" s="27" t="s">
        <v>255</v>
      </c>
      <c r="B68" s="27"/>
      <c r="C68" s="28" t="s">
        <v>256</v>
      </c>
      <c r="D68" s="27" t="s">
        <v>257</v>
      </c>
      <c r="E68" s="27" t="s">
        <v>258</v>
      </c>
      <c r="F68" s="27"/>
      <c r="G68" s="27"/>
      <c r="H68" s="29" t="n">
        <v>1</v>
      </c>
      <c r="I68" s="22" t="n">
        <v>25</v>
      </c>
      <c r="J68" s="30" t="n">
        <f aca="false">H68*I68</f>
        <v>25</v>
      </c>
      <c r="K68" s="28" t="s">
        <v>259</v>
      </c>
    </row>
    <row r="69" customFormat="false" ht="15" hidden="false" customHeight="false" outlineLevel="0" collapsed="false">
      <c r="A69" s="27" t="s">
        <v>260</v>
      </c>
      <c r="B69" s="27"/>
      <c r="C69" s="28" t="s">
        <v>261</v>
      </c>
      <c r="D69" s="27" t="s">
        <v>262</v>
      </c>
      <c r="E69" s="27" t="s">
        <v>263</v>
      </c>
      <c r="F69" s="27"/>
      <c r="G69" s="27"/>
      <c r="H69" s="29" t="n">
        <v>6</v>
      </c>
      <c r="I69" s="22" t="n">
        <v>3.6</v>
      </c>
      <c r="J69" s="30" t="n">
        <f aca="false">H69*I69</f>
        <v>21.6</v>
      </c>
      <c r="K69" s="28" t="s">
        <v>244</v>
      </c>
    </row>
    <row r="70" customFormat="false" ht="15" hidden="false" customHeight="false" outlineLevel="0" collapsed="false">
      <c r="A70" s="15" t="s">
        <v>53</v>
      </c>
      <c r="B70" s="15"/>
      <c r="C70" s="15" t="s">
        <v>264</v>
      </c>
      <c r="D70" s="15"/>
      <c r="E70" s="15"/>
      <c r="F70" s="15"/>
      <c r="G70" s="15"/>
      <c r="H70" s="31" t="n">
        <f aca="false">SUM(H62:H69)</f>
        <v>36</v>
      </c>
      <c r="I70" s="15"/>
      <c r="J70" s="17" t="n">
        <f aca="false">SUM(J62:J69)</f>
        <v>783.35</v>
      </c>
      <c r="K70" s="15"/>
    </row>
    <row r="72" customFormat="false" ht="15" hidden="false" customHeight="false" outlineLevel="0" collapsed="false">
      <c r="A72" s="8" t="s">
        <v>265</v>
      </c>
      <c r="B72" s="8"/>
      <c r="C72" s="8"/>
      <c r="D72" s="8"/>
      <c r="E72" s="8"/>
      <c r="F72" s="8"/>
      <c r="G72" s="8"/>
      <c r="H72" s="8"/>
      <c r="I72" s="8"/>
      <c r="J72" s="8"/>
      <c r="K72" s="8"/>
    </row>
    <row r="73" customFormat="false" ht="15" hidden="false" customHeight="false" outlineLevel="0" collapsed="false">
      <c r="A73" s="27" t="s">
        <v>266</v>
      </c>
      <c r="B73" s="27"/>
      <c r="C73" s="28" t="s">
        <v>267</v>
      </c>
      <c r="D73" s="27" t="s">
        <v>268</v>
      </c>
      <c r="E73" s="27" t="s">
        <v>269</v>
      </c>
      <c r="F73" s="27"/>
      <c r="G73" s="27"/>
      <c r="H73" s="29" t="n">
        <v>1</v>
      </c>
      <c r="I73" s="22" t="n">
        <v>220</v>
      </c>
      <c r="J73" s="30" t="n">
        <f aca="false">H73*I73</f>
        <v>220</v>
      </c>
      <c r="K73" s="28" t="s">
        <v>182</v>
      </c>
    </row>
    <row r="74" customFormat="false" ht="15" hidden="false" customHeight="false" outlineLevel="0" collapsed="false">
      <c r="A74" s="27" t="s">
        <v>270</v>
      </c>
      <c r="B74" s="27"/>
      <c r="C74" s="28" t="s">
        <v>271</v>
      </c>
      <c r="D74" s="27" t="s">
        <v>272</v>
      </c>
      <c r="E74" s="27" t="s">
        <v>273</v>
      </c>
      <c r="F74" s="27"/>
      <c r="G74" s="27"/>
      <c r="H74" s="29" t="n">
        <v>1</v>
      </c>
      <c r="I74" s="22" t="n">
        <v>75</v>
      </c>
      <c r="J74" s="30" t="n">
        <f aca="false">H74*I74</f>
        <v>75</v>
      </c>
      <c r="K74" s="28" t="s">
        <v>113</v>
      </c>
    </row>
    <row r="75" customFormat="false" ht="15" hidden="false" customHeight="false" outlineLevel="0" collapsed="false">
      <c r="A75" s="27" t="s">
        <v>274</v>
      </c>
      <c r="B75" s="27"/>
      <c r="C75" s="28" t="s">
        <v>275</v>
      </c>
      <c r="D75" s="27" t="s">
        <v>276</v>
      </c>
      <c r="E75" s="27" t="s">
        <v>277</v>
      </c>
      <c r="F75" s="27"/>
      <c r="G75" s="27"/>
      <c r="H75" s="29" t="n">
        <v>1</v>
      </c>
      <c r="I75" s="22" t="n">
        <v>18</v>
      </c>
      <c r="J75" s="30" t="n">
        <f aca="false">H75*I75</f>
        <v>18</v>
      </c>
      <c r="K75" s="28" t="s">
        <v>278</v>
      </c>
    </row>
    <row r="76" customFormat="false" ht="15" hidden="false" customHeight="false" outlineLevel="0" collapsed="false">
      <c r="A76" s="27" t="s">
        <v>279</v>
      </c>
      <c r="B76" s="27"/>
      <c r="C76" s="28" t="s">
        <v>280</v>
      </c>
      <c r="D76" s="27" t="s">
        <v>281</v>
      </c>
      <c r="E76" s="27" t="s">
        <v>282</v>
      </c>
      <c r="F76" s="27"/>
      <c r="G76" s="27"/>
      <c r="H76" s="29" t="n">
        <v>1</v>
      </c>
      <c r="I76" s="22" t="n">
        <v>32</v>
      </c>
      <c r="J76" s="30" t="n">
        <f aca="false">H76*I76</f>
        <v>32</v>
      </c>
      <c r="K76" s="28" t="s">
        <v>283</v>
      </c>
    </row>
    <row r="77" customFormat="false" ht="15" hidden="false" customHeight="false" outlineLevel="0" collapsed="false">
      <c r="A77" s="27" t="s">
        <v>284</v>
      </c>
      <c r="B77" s="27"/>
      <c r="C77" s="28" t="s">
        <v>285</v>
      </c>
      <c r="D77" s="27" t="s">
        <v>286</v>
      </c>
      <c r="E77" s="27" t="s">
        <v>287</v>
      </c>
      <c r="F77" s="27"/>
      <c r="G77" s="27"/>
      <c r="H77" s="29" t="n">
        <v>1</v>
      </c>
      <c r="I77" s="22" t="n">
        <v>20</v>
      </c>
      <c r="J77" s="30" t="n">
        <f aca="false">H77*I77</f>
        <v>20</v>
      </c>
      <c r="K77" s="28" t="s">
        <v>288</v>
      </c>
    </row>
    <row r="78" customFormat="false" ht="15" hidden="false" customHeight="false" outlineLevel="0" collapsed="false">
      <c r="A78" s="15" t="s">
        <v>53</v>
      </c>
      <c r="B78" s="15"/>
      <c r="C78" s="15" t="s">
        <v>289</v>
      </c>
      <c r="D78" s="15"/>
      <c r="E78" s="15"/>
      <c r="F78" s="15"/>
      <c r="G78" s="15"/>
      <c r="H78" s="31" t="n">
        <f aca="false">SUM(H73:H77)</f>
        <v>5</v>
      </c>
      <c r="I78" s="15"/>
      <c r="J78" s="17" t="n">
        <f aca="false">SUM(J73:J77)</f>
        <v>365</v>
      </c>
      <c r="K78" s="15"/>
    </row>
    <row r="80" customFormat="false" ht="15" hidden="false" customHeight="false" outlineLevel="0" collapsed="false">
      <c r="A80" s="24" t="s">
        <v>290</v>
      </c>
      <c r="B80" s="24"/>
      <c r="C80" s="24" t="s">
        <v>291</v>
      </c>
      <c r="D80" s="24"/>
      <c r="E80" s="24"/>
      <c r="F80" s="24"/>
      <c r="G80" s="24"/>
      <c r="H80" s="24"/>
      <c r="I80" s="24"/>
      <c r="J80" s="26" t="n">
        <f aca="false">J59+J70+J78</f>
        <v>6496.35</v>
      </c>
      <c r="K80" s="24"/>
    </row>
    <row r="82" customFormat="false" ht="15" hidden="false" customHeight="false" outlineLevel="0" collapsed="false">
      <c r="A82" s="32" t="s">
        <v>292</v>
      </c>
    </row>
    <row r="83" customFormat="false" ht="15" hidden="false" customHeight="false" outlineLevel="0" collapsed="false">
      <c r="A83" s="33" t="s">
        <v>293</v>
      </c>
    </row>
    <row r="84" customFormat="false" ht="15" hidden="false" customHeight="false" outlineLevel="0" collapsed="false">
      <c r="A84" s="33" t="s">
        <v>294</v>
      </c>
    </row>
    <row r="85" customFormat="false" ht="15" hidden="false" customHeight="false" outlineLevel="0" collapsed="false">
      <c r="A85" s="33" t="s">
        <v>295</v>
      </c>
    </row>
    <row r="86" customFormat="false" ht="15" hidden="false" customHeight="false" outlineLevel="0" collapsed="false">
      <c r="A86" s="33" t="s">
        <v>296</v>
      </c>
    </row>
    <row r="87" customFormat="false" ht="15" hidden="false" customHeight="false" outlineLevel="0" collapsed="false">
      <c r="A87" s="33" t="s">
        <v>297</v>
      </c>
    </row>
  </sheetData>
  <mergeCells count="6">
    <mergeCell ref="A1:F1"/>
    <mergeCell ref="A4:K4"/>
    <mergeCell ref="A15:K15"/>
    <mergeCell ref="A42:K42"/>
    <mergeCell ref="A61:K61"/>
    <mergeCell ref="A72:K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2026-09-28T16:23:00Z</dcterms:created>
  <dc:creator>openpyxl</dc:creator>
  <dc:description/>
  <dc:language>en-US</dc:language>
  <cp:lastModifiedBy/>
  <dcterms:modified xsi:type="dcterms:W3CDTF">2026-09-28T16:23:03Z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